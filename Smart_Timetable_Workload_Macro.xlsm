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SAYAR SEKHAR GHOSH\Desktop\CAs_Notes\Excel_files\"/>
    </mc:Choice>
  </mc:AlternateContent>
  <xr:revisionPtr revIDLastSave="0" documentId="13_ncr:1_{ECD0C431-F5C4-484F-BBDC-68B232F559C5}" xr6:coauthVersionLast="47" xr6:coauthVersionMax="47" xr10:uidLastSave="{00000000-0000-0000-0000-000000000000}"/>
  <bookViews>
    <workbookView xWindow="-108" yWindow="-108" windowWidth="23256" windowHeight="12456" xr2:uid="{00000000-000D-0000-FFFF-FFFF00000000}"/>
  </bookViews>
  <sheets>
    <sheet name="Index" sheetId="16" r:id="rId1"/>
    <sheet name="Data Cleaning" sheetId="17" r:id="rId2"/>
    <sheet name="Timetable entry" sheetId="14" r:id="rId3"/>
    <sheet name="Raw Timetable" sheetId="1" r:id="rId4"/>
    <sheet name="Clean Timetable" sheetId="5" r:id="rId5"/>
    <sheet name="Raw Faculty Data" sheetId="6" r:id="rId6"/>
    <sheet name="Clean Faculty Data &amp; Workload" sheetId="7" r:id="rId7"/>
    <sheet name="Raw Room Utilisation " sheetId="8" r:id="rId8"/>
    <sheet name="Modified Room Util" sheetId="9" r:id="rId9"/>
    <sheet name="Pivot Tables" sheetId="11" r:id="rId10"/>
    <sheet name="Dashboard" sheetId="18" r:id="rId11"/>
  </sheets>
  <definedNames>
    <definedName name="_xlnm._FilterDatabase" localSheetId="6" hidden="1">'Clean Faculty Data &amp; Workload'!$A$1:$G$24</definedName>
    <definedName name="Slicer_Day">#N/A</definedName>
    <definedName name="Slicer_Department">#N/A</definedName>
    <definedName name="Slicer_Designation">#N/A</definedName>
    <definedName name="Slicer_Room_Type">#N/A</definedName>
    <definedName name="Slicer_Utilisation_Status">#N/A</definedName>
    <definedName name="Slicer_Workload_Status">#N/A</definedName>
  </definedNames>
  <calcPr calcId="191029"/>
  <pivotCaches>
    <pivotCache cacheId="0" r:id="rId12"/>
    <pivotCache cacheId="1" r:id="rId13"/>
    <pivotCache cacheId="2"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4" i="5" l="1"/>
  <c r="O94" i="5"/>
  <c r="I93" i="5"/>
  <c r="O93" i="5"/>
  <c r="A13" i="18"/>
  <c r="A10" i="18"/>
  <c r="A7" i="18"/>
  <c r="I92" i="5"/>
  <c r="O92" i="5"/>
  <c r="I91" i="5"/>
  <c r="O91" i="5"/>
  <c r="I90" i="5"/>
  <c r="O90" i="5"/>
  <c r="I89" i="5"/>
  <c r="O89" i="5"/>
  <c r="H14" i="14"/>
  <c r="I88" i="5"/>
  <c r="O88" i="5"/>
  <c r="O87" i="5"/>
  <c r="K6" i="14" a="1"/>
  <c r="K6" i="14" s="1"/>
  <c r="I87" i="5"/>
  <c r="I86" i="5"/>
  <c r="O86" i="5"/>
  <c r="O2"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G33" i="14" a="1"/>
  <c r="G33" i="14" s="1"/>
  <c r="K10" i="14"/>
  <c r="J5" i="7"/>
  <c r="H33" i="14" a="1"/>
  <c r="H33" i="14" s="1"/>
  <c r="G6" i="14" a="1"/>
  <c r="G6" i="14" s="1"/>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2" i="5"/>
  <c r="D2" i="9"/>
  <c r="D13" i="9"/>
  <c r="D3" i="9"/>
  <c r="D4" i="9"/>
  <c r="D5" i="9"/>
  <c r="D6" i="9"/>
  <c r="D7" i="9"/>
  <c r="D8" i="9"/>
  <c r="D9" i="9"/>
  <c r="D10" i="9"/>
  <c r="D11" i="9"/>
  <c r="D12"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B10" i="18"/>
  <c r="B7" i="18"/>
  <c r="C7" i="18" l="1"/>
  <c r="J2" i="7"/>
  <c r="E10" i="9"/>
  <c r="F10" i="9" s="1"/>
  <c r="E11" i="9"/>
  <c r="F11" i="9" s="1"/>
  <c r="E12" i="9"/>
  <c r="F12" i="9" s="1"/>
  <c r="E13" i="9"/>
  <c r="F13" i="9" s="1"/>
  <c r="E22" i="9"/>
  <c r="F22" i="9" s="1"/>
  <c r="E23" i="9"/>
  <c r="F23" i="9" s="1"/>
  <c r="E24" i="9"/>
  <c r="F24" i="9" s="1"/>
  <c r="E25" i="9"/>
  <c r="F25" i="9" s="1"/>
  <c r="E34" i="9"/>
  <c r="F34" i="9" s="1"/>
  <c r="E35" i="9"/>
  <c r="F35" i="9" s="1"/>
  <c r="E36" i="9"/>
  <c r="F36" i="9" s="1"/>
  <c r="E37" i="9"/>
  <c r="F37" i="9" s="1"/>
  <c r="E2" i="9"/>
  <c r="F2" i="9" s="1"/>
  <c r="E3" i="9"/>
  <c r="F3" i="9" s="1"/>
  <c r="E4" i="9"/>
  <c r="F4" i="9" s="1"/>
  <c r="E5" i="9"/>
  <c r="F5" i="9" s="1"/>
  <c r="E6" i="9"/>
  <c r="F6" i="9" s="1"/>
  <c r="E7" i="9"/>
  <c r="F7" i="9" s="1"/>
  <c r="E8" i="9"/>
  <c r="F8" i="9" s="1"/>
  <c r="E9" i="9"/>
  <c r="F9" i="9" s="1"/>
  <c r="E14" i="9"/>
  <c r="F14" i="9" s="1"/>
  <c r="E15" i="9"/>
  <c r="F15" i="9" s="1"/>
  <c r="E16" i="9"/>
  <c r="F16" i="9" s="1"/>
  <c r="E17" i="9"/>
  <c r="F17" i="9" s="1"/>
  <c r="E18" i="9"/>
  <c r="F18" i="9" s="1"/>
  <c r="E19" i="9"/>
  <c r="F19" i="9" s="1"/>
  <c r="E20" i="9"/>
  <c r="F20" i="9" s="1"/>
  <c r="E21" i="9"/>
  <c r="F21" i="9" s="1"/>
  <c r="E26" i="9"/>
  <c r="F26" i="9" s="1"/>
  <c r="E27" i="9"/>
  <c r="F27" i="9" s="1"/>
  <c r="E28" i="9"/>
  <c r="F28" i="9" s="1"/>
  <c r="E29" i="9"/>
  <c r="F29" i="9" s="1"/>
  <c r="E30" i="9"/>
  <c r="F30" i="9" s="1"/>
  <c r="E31" i="9"/>
  <c r="F31" i="9" s="1"/>
  <c r="E32" i="9"/>
  <c r="F32" i="9" s="1"/>
  <c r="E33" i="9"/>
  <c r="F33" i="9" s="1"/>
  <c r="E38" i="9"/>
  <c r="F38" i="9" s="1"/>
  <c r="E39" i="9"/>
  <c r="F39" i="9" s="1"/>
  <c r="E40" i="9"/>
  <c r="F40" i="9" s="1"/>
  <c r="E41" i="9"/>
  <c r="F41" i="9" s="1"/>
  <c r="L2"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K2"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J16" i="7"/>
  <c r="J3" i="7"/>
  <c r="J4" i="7"/>
  <c r="J6" i="7"/>
  <c r="J7" i="7"/>
  <c r="J8" i="7"/>
  <c r="J9" i="7"/>
  <c r="J10" i="7"/>
  <c r="J11" i="7"/>
  <c r="J12" i="7"/>
  <c r="J13" i="7"/>
  <c r="J14" i="7"/>
  <c r="J15"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N5" i="11" l="1"/>
  <c r="N4" i="11"/>
  <c r="N3" i="11"/>
  <c r="B13" i="18"/>
  <c r="M29" i="7"/>
  <c r="N29" i="7" s="1"/>
  <c r="M17" i="7"/>
  <c r="N17" i="7" s="1"/>
  <c r="M40" i="7"/>
  <c r="N40" i="7" s="1"/>
  <c r="M28" i="7"/>
  <c r="N28" i="7" s="1"/>
  <c r="M16" i="7"/>
  <c r="N16" i="7" s="1"/>
  <c r="M4" i="7"/>
  <c r="N4" i="7" s="1"/>
  <c r="M5" i="7"/>
  <c r="N5" i="7" s="1"/>
  <c r="M45" i="7"/>
  <c r="N45" i="7" s="1"/>
  <c r="M35" i="7"/>
  <c r="N35" i="7" s="1"/>
  <c r="M23" i="7"/>
  <c r="N23" i="7" s="1"/>
  <c r="M11" i="7"/>
  <c r="N11" i="7" s="1"/>
  <c r="M44" i="7"/>
  <c r="N44" i="7" s="1"/>
  <c r="M34" i="7"/>
  <c r="N34" i="7" s="1"/>
  <c r="M22" i="7"/>
  <c r="N22" i="7" s="1"/>
  <c r="M10" i="7"/>
  <c r="N10" i="7" s="1"/>
  <c r="M42" i="7"/>
  <c r="N42" i="7" s="1"/>
  <c r="M31" i="7"/>
  <c r="N31" i="7" s="1"/>
  <c r="M19" i="7"/>
  <c r="N19" i="7" s="1"/>
  <c r="M7" i="7"/>
  <c r="N7" i="7" s="1"/>
  <c r="M41" i="7"/>
  <c r="N41" i="7" s="1"/>
  <c r="M30" i="7"/>
  <c r="N30" i="7" s="1"/>
  <c r="M18" i="7"/>
  <c r="N18" i="7" s="1"/>
  <c r="M6" i="7"/>
  <c r="N6" i="7" s="1"/>
  <c r="M48" i="7"/>
  <c r="N48" i="7" s="1"/>
  <c r="M39" i="7"/>
  <c r="N39" i="7" s="1"/>
  <c r="M27" i="7"/>
  <c r="N27" i="7" s="1"/>
  <c r="M15" i="7"/>
  <c r="N15" i="7" s="1"/>
  <c r="M3" i="7"/>
  <c r="N3" i="7" s="1"/>
  <c r="M2" i="7"/>
  <c r="N2" i="7" s="1"/>
  <c r="M47" i="7"/>
  <c r="N47" i="7" s="1"/>
  <c r="M14" i="7"/>
  <c r="N14" i="7" s="1"/>
  <c r="M37" i="7"/>
  <c r="N37" i="7" s="1"/>
  <c r="M26" i="7"/>
  <c r="N26" i="7" s="1"/>
  <c r="M25" i="7"/>
  <c r="N25" i="7" s="1"/>
  <c r="M43" i="7"/>
  <c r="N43" i="7" s="1"/>
  <c r="M33" i="7"/>
  <c r="N33" i="7" s="1"/>
  <c r="M21" i="7"/>
  <c r="N21" i="7" s="1"/>
  <c r="M9" i="7"/>
  <c r="N9" i="7" s="1"/>
  <c r="M38" i="7"/>
  <c r="N38" i="7" s="1"/>
  <c r="M46" i="7"/>
  <c r="N46" i="7" s="1"/>
  <c r="M13" i="7"/>
  <c r="N13" i="7" s="1"/>
  <c r="M32" i="7"/>
  <c r="N32" i="7" s="1"/>
  <c r="M20" i="7"/>
  <c r="N20" i="7" s="1"/>
  <c r="M8" i="7"/>
  <c r="N8" i="7" s="1"/>
  <c r="M12" i="7"/>
  <c r="N12" i="7" s="1"/>
  <c r="M24" i="7"/>
  <c r="N24" i="7" s="1"/>
  <c r="M36" i="7"/>
  <c r="N36" i="7" s="1"/>
  <c r="C10" i="1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<sst xmlns="http://schemas.openxmlformats.org/spreadsheetml/2006/main" count="3604" uniqueCount="645">
  <si>
    <t>Slot ID</t>
  </si>
  <si>
    <t>Day</t>
  </si>
  <si>
    <t>Time Slot</t>
  </si>
  <si>
    <t>Department</t>
  </si>
  <si>
    <t>Subject Code</t>
  </si>
  <si>
    <t>Subject Name</t>
  </si>
  <si>
    <t>Faculty ID</t>
  </si>
  <si>
    <t>Room Type</t>
  </si>
  <si>
    <t>Batch</t>
  </si>
  <si>
    <t>Semester</t>
  </si>
  <si>
    <t>Section</t>
  </si>
  <si>
    <t>Duration (hrs)</t>
  </si>
  <si>
    <t>Is Lab</t>
  </si>
  <si>
    <t>TS0001</t>
  </si>
  <si>
    <t>Tuesday</t>
  </si>
  <si>
    <t>11:00-12:00</t>
  </si>
  <si>
    <t>ECE</t>
  </si>
  <si>
    <t>EC105</t>
  </si>
  <si>
    <t>Algorithms</t>
  </si>
  <si>
    <t>FAC1048</t>
  </si>
  <si>
    <t>R107</t>
  </si>
  <si>
    <t>Lecture Hall</t>
  </si>
  <si>
    <t>2024</t>
  </si>
  <si>
    <t>A</t>
  </si>
  <si>
    <t>No</t>
  </si>
  <si>
    <t>Yes</t>
  </si>
  <si>
    <t>TS0002</t>
  </si>
  <si>
    <t>Friday</t>
  </si>
  <si>
    <t>CE</t>
  </si>
  <si>
    <t>CE123</t>
  </si>
  <si>
    <t>Distributed Systems</t>
  </si>
  <si>
    <t>FAC1042</t>
  </si>
  <si>
    <t>R135</t>
  </si>
  <si>
    <t>Lab</t>
  </si>
  <si>
    <t>D</t>
  </si>
  <si>
    <t>TS0003</t>
  </si>
  <si>
    <t>Wednesday</t>
  </si>
  <si>
    <t>10:00-11:00</t>
  </si>
  <si>
    <t>ME</t>
  </si>
  <si>
    <t>ME107</t>
  </si>
  <si>
    <t>C++</t>
  </si>
  <si>
    <t>FAC1049</t>
  </si>
  <si>
    <t>R122</t>
  </si>
  <si>
    <t>2021</t>
  </si>
  <si>
    <t>TS0004</t>
  </si>
  <si>
    <t>9:00-10:00</t>
  </si>
  <si>
    <t>EEE</t>
  </si>
  <si>
    <t>EE130</t>
  </si>
  <si>
    <t>DBMS</t>
  </si>
  <si>
    <t>FAC1025</t>
  </si>
  <si>
    <t>R106</t>
  </si>
  <si>
    <t>2023</t>
  </si>
  <si>
    <t>TS0005</t>
  </si>
  <si>
    <t>Monday</t>
  </si>
  <si>
    <t>2:00-3:00</t>
  </si>
  <si>
    <t>EE109</t>
  </si>
  <si>
    <t>Machine Learning</t>
  </si>
  <si>
    <t>FAC1030</t>
  </si>
  <si>
    <t>R124</t>
  </si>
  <si>
    <t>2022</t>
  </si>
  <si>
    <t>C</t>
  </si>
  <si>
    <t>TS0006</t>
  </si>
  <si>
    <t>EC106</t>
  </si>
  <si>
    <t>Digital Signal Processing</t>
  </si>
  <si>
    <t>R125</t>
  </si>
  <si>
    <t>TS0007</t>
  </si>
  <si>
    <t>CSE</t>
  </si>
  <si>
    <t>CS107</t>
  </si>
  <si>
    <t>Linear Algebra</t>
  </si>
  <si>
    <t>FAC1037</t>
  </si>
  <si>
    <t>R121</t>
  </si>
  <si>
    <t>TS0008</t>
  </si>
  <si>
    <t>Saturday</t>
  </si>
  <si>
    <t>ME129</t>
  </si>
  <si>
    <t>Thermodynamics</t>
  </si>
  <si>
    <t>FAC1038</t>
  </si>
  <si>
    <t>R126</t>
  </si>
  <si>
    <t>TS0009</t>
  </si>
  <si>
    <t>EC120</t>
  </si>
  <si>
    <t>Cloud Computing</t>
  </si>
  <si>
    <t>FAC1005</t>
  </si>
  <si>
    <t>TS0010</t>
  </si>
  <si>
    <t>EE106</t>
  </si>
  <si>
    <t>Engineering Mathematics</t>
  </si>
  <si>
    <t>R101</t>
  </si>
  <si>
    <t>TS0011</t>
  </si>
  <si>
    <t>4:00-5:00</t>
  </si>
  <si>
    <t>ME130</t>
  </si>
  <si>
    <t>Communication Skills</t>
  </si>
  <si>
    <t>FAC1001</t>
  </si>
  <si>
    <t>R139</t>
  </si>
  <si>
    <t>TS0012</t>
  </si>
  <si>
    <t>EE103</t>
  </si>
  <si>
    <t>FAC1047</t>
  </si>
  <si>
    <t>R132</t>
  </si>
  <si>
    <t>B</t>
  </si>
  <si>
    <t>TS0013</t>
  </si>
  <si>
    <t>EE125</t>
  </si>
  <si>
    <t>R113</t>
  </si>
  <si>
    <t>TS0014</t>
  </si>
  <si>
    <t>8:00-9:00</t>
  </si>
  <si>
    <t>CE119</t>
  </si>
  <si>
    <t>Embedded Systems</t>
  </si>
  <si>
    <t>FAC1036</t>
  </si>
  <si>
    <t>R115</t>
  </si>
  <si>
    <t>TS0015</t>
  </si>
  <si>
    <t>EC108</t>
  </si>
  <si>
    <t>FAC1018</t>
  </si>
  <si>
    <t>TS0016</t>
  </si>
  <si>
    <t>CE112</t>
  </si>
  <si>
    <t>AI</t>
  </si>
  <si>
    <t>FAC1028</t>
  </si>
  <si>
    <t>R127</t>
  </si>
  <si>
    <t>TS0017</t>
  </si>
  <si>
    <t>IT</t>
  </si>
  <si>
    <t>IT118</t>
  </si>
  <si>
    <t>FAC1029</t>
  </si>
  <si>
    <t>R109</t>
  </si>
  <si>
    <t>TS0018</t>
  </si>
  <si>
    <t>EC127</t>
  </si>
  <si>
    <t>Data Mining</t>
  </si>
  <si>
    <t>TS0019</t>
  </si>
  <si>
    <t>CE101</t>
  </si>
  <si>
    <t>Python Programming</t>
  </si>
  <si>
    <t>R117</t>
  </si>
  <si>
    <t>TS0020</t>
  </si>
  <si>
    <t>CE102</t>
  </si>
  <si>
    <t>Manufacturing</t>
  </si>
  <si>
    <t>TS0021</t>
  </si>
  <si>
    <t>EC122</t>
  </si>
  <si>
    <t>Signals &amp; Systems</t>
  </si>
  <si>
    <t>FAC1016</t>
  </si>
  <si>
    <t>TS0022</t>
  </si>
  <si>
    <t>1:00-2:00</t>
  </si>
  <si>
    <t>IT108</t>
  </si>
  <si>
    <t>Fluid Mechanics</t>
  </si>
  <si>
    <t>FAC1017</t>
  </si>
  <si>
    <t>TS0023</t>
  </si>
  <si>
    <t>Cybersecurity</t>
  </si>
  <si>
    <t>FAC1033</t>
  </si>
  <si>
    <t>TS0024</t>
  </si>
  <si>
    <t>12:00-1:00</t>
  </si>
  <si>
    <t>EE120</t>
  </si>
  <si>
    <t>Digital Electronics</t>
  </si>
  <si>
    <t>R134</t>
  </si>
  <si>
    <t>TS0025</t>
  </si>
  <si>
    <t>Power Systems</t>
  </si>
  <si>
    <t>FAC1014</t>
  </si>
  <si>
    <t>TS0026</t>
  </si>
  <si>
    <t>EC111</t>
  </si>
  <si>
    <t>FAC1050</t>
  </si>
  <si>
    <t>TS0027</t>
  </si>
  <si>
    <t>TS0028</t>
  </si>
  <si>
    <t>CE129</t>
  </si>
  <si>
    <t>FAC1027</t>
  </si>
  <si>
    <t>R110</t>
  </si>
  <si>
    <t>TS0029</t>
  </si>
  <si>
    <t>ME109</t>
  </si>
  <si>
    <t>FAC1011</t>
  </si>
  <si>
    <t>TS0030</t>
  </si>
  <si>
    <t>IT122</t>
  </si>
  <si>
    <t>CAD/CAM</t>
  </si>
  <si>
    <t>FAC1013</t>
  </si>
  <si>
    <t>TS0031</t>
  </si>
  <si>
    <t>MCA</t>
  </si>
  <si>
    <t>MC129</t>
  </si>
  <si>
    <t>Blockchain</t>
  </si>
  <si>
    <t>R112</t>
  </si>
  <si>
    <t>TS0032</t>
  </si>
  <si>
    <t>Thursday</t>
  </si>
  <si>
    <t>MC109</t>
  </si>
  <si>
    <t>FAC1003</t>
  </si>
  <si>
    <t>R128</t>
  </si>
  <si>
    <t>TS0033</t>
  </si>
  <si>
    <t>IT124</t>
  </si>
  <si>
    <t>Robotics</t>
  </si>
  <si>
    <t>FAC1020</t>
  </si>
  <si>
    <t>R133</t>
  </si>
  <si>
    <t>TS0034</t>
  </si>
  <si>
    <t>CE120</t>
  </si>
  <si>
    <t>Java Programming</t>
  </si>
  <si>
    <t>R120</t>
  </si>
  <si>
    <t>TS0035</t>
  </si>
  <si>
    <t>IT117</t>
  </si>
  <si>
    <t>FAC1031</t>
  </si>
  <si>
    <t>R111</t>
  </si>
  <si>
    <t>TS0036</t>
  </si>
  <si>
    <t>CE108</t>
  </si>
  <si>
    <t>VLSI Design</t>
  </si>
  <si>
    <t>R105</t>
  </si>
  <si>
    <t>TS0037</t>
  </si>
  <si>
    <t>TS0038</t>
  </si>
  <si>
    <t>3:00-4:00</t>
  </si>
  <si>
    <t>CE122</t>
  </si>
  <si>
    <t>Software Engineering</t>
  </si>
  <si>
    <t>FAC1034</t>
  </si>
  <si>
    <t>R136</t>
  </si>
  <si>
    <t>TS0039</t>
  </si>
  <si>
    <t>MBA</t>
  </si>
  <si>
    <t>MB125</t>
  </si>
  <si>
    <t>TS0040</t>
  </si>
  <si>
    <t>EE129</t>
  </si>
  <si>
    <t>FAC1035</t>
  </si>
  <si>
    <t>TS0041</t>
  </si>
  <si>
    <t>EC115</t>
  </si>
  <si>
    <t>R104</t>
  </si>
  <si>
    <t>TS0042</t>
  </si>
  <si>
    <t>CS118</t>
  </si>
  <si>
    <t>Statistics</t>
  </si>
  <si>
    <t>TS0043</t>
  </si>
  <si>
    <t>CS124</t>
  </si>
  <si>
    <t>Technical Writing</t>
  </si>
  <si>
    <t>R130</t>
  </si>
  <si>
    <t>TS0044</t>
  </si>
  <si>
    <t>ME113</t>
  </si>
  <si>
    <t>FAC1021</t>
  </si>
  <si>
    <t>R114</t>
  </si>
  <si>
    <t>TS0045</t>
  </si>
  <si>
    <t>MC124</t>
  </si>
  <si>
    <t>TS0046</t>
  </si>
  <si>
    <t>FAC1009</t>
  </si>
  <si>
    <t>R131</t>
  </si>
  <si>
    <t>TS0047</t>
  </si>
  <si>
    <t>ME104</t>
  </si>
  <si>
    <t>R102</t>
  </si>
  <si>
    <t>TS0048</t>
  </si>
  <si>
    <t>CE126</t>
  </si>
  <si>
    <t>R103</t>
  </si>
  <si>
    <t>TS0049</t>
  </si>
  <si>
    <t>MC121</t>
  </si>
  <si>
    <t>Compiler Design</t>
  </si>
  <si>
    <t>TS0050</t>
  </si>
  <si>
    <t>MC127</t>
  </si>
  <si>
    <t>Analog Circuits</t>
  </si>
  <si>
    <t>FAC1006</t>
  </si>
  <si>
    <t>R118</t>
  </si>
  <si>
    <t>TS0051</t>
  </si>
  <si>
    <t>MB112</t>
  </si>
  <si>
    <t>TS0052</t>
  </si>
  <si>
    <t>TS0053</t>
  </si>
  <si>
    <t>CE117</t>
  </si>
  <si>
    <t>FAC1023</t>
  </si>
  <si>
    <t>TS0054</t>
  </si>
  <si>
    <t>CE124</t>
  </si>
  <si>
    <t>TS0055</t>
  </si>
  <si>
    <t>TS0056</t>
  </si>
  <si>
    <t>MB116</t>
  </si>
  <si>
    <t>R129</t>
  </si>
  <si>
    <t>TS0057</t>
  </si>
  <si>
    <t>EC119</t>
  </si>
  <si>
    <t>Computer Networks</t>
  </si>
  <si>
    <t>FAC1041</t>
  </si>
  <si>
    <t>TS0058</t>
  </si>
  <si>
    <t>MC115</t>
  </si>
  <si>
    <t>TS0059</t>
  </si>
  <si>
    <t>CE106</t>
  </si>
  <si>
    <t>TS0060</t>
  </si>
  <si>
    <t>EE123</t>
  </si>
  <si>
    <t>TS0061</t>
  </si>
  <si>
    <t>TS0062</t>
  </si>
  <si>
    <t>TS0063</t>
  </si>
  <si>
    <t>EE117</t>
  </si>
  <si>
    <t>Control Systems</t>
  </si>
  <si>
    <t>TS0064</t>
  </si>
  <si>
    <t>MB122</t>
  </si>
  <si>
    <t>FAC1007</t>
  </si>
  <si>
    <t>TS0065</t>
  </si>
  <si>
    <t>MB104</t>
  </si>
  <si>
    <t>TS0066</t>
  </si>
  <si>
    <t>MB118</t>
  </si>
  <si>
    <t>R119</t>
  </si>
  <si>
    <t>TS0067</t>
  </si>
  <si>
    <t>ME103</t>
  </si>
  <si>
    <t>FAC1015</t>
  </si>
  <si>
    <t>R108</t>
  </si>
  <si>
    <t>TS0068</t>
  </si>
  <si>
    <t>EE115</t>
  </si>
  <si>
    <t>TS0069</t>
  </si>
  <si>
    <t>R138</t>
  </si>
  <si>
    <t>TS0070</t>
  </si>
  <si>
    <t>MC119</t>
  </si>
  <si>
    <t>TS0071</t>
  </si>
  <si>
    <t>ME119</t>
  </si>
  <si>
    <t>FAC1022</t>
  </si>
  <si>
    <t>TS0072</t>
  </si>
  <si>
    <t>MC111</t>
  </si>
  <si>
    <t>FAC1040</t>
  </si>
  <si>
    <t>TS0073</t>
  </si>
  <si>
    <t>CS108</t>
  </si>
  <si>
    <t>TS0074</t>
  </si>
  <si>
    <t>EE110</t>
  </si>
  <si>
    <t>TS0075</t>
  </si>
  <si>
    <t>ME120</t>
  </si>
  <si>
    <t>FAC1044</t>
  </si>
  <si>
    <t>R116</t>
  </si>
  <si>
    <t>TS0076</t>
  </si>
  <si>
    <t>TS0077</t>
  </si>
  <si>
    <t>EE128</t>
  </si>
  <si>
    <t>TS0078</t>
  </si>
  <si>
    <t>MC130</t>
  </si>
  <si>
    <t>Machine Design</t>
  </si>
  <si>
    <t>FAC1039</t>
  </si>
  <si>
    <t>TS0079</t>
  </si>
  <si>
    <t>Web Technology</t>
  </si>
  <si>
    <t>TS0080</t>
  </si>
  <si>
    <t>FAC1024</t>
  </si>
  <si>
    <t>TS0081</t>
  </si>
  <si>
    <t>IT125</t>
  </si>
  <si>
    <t>TS0082</t>
  </si>
  <si>
    <t>MB127</t>
  </si>
  <si>
    <t>TS0083</t>
  </si>
  <si>
    <t>EC104</t>
  </si>
  <si>
    <t>TS0084</t>
  </si>
  <si>
    <t>ME114</t>
  </si>
  <si>
    <t>TS0085</t>
  </si>
  <si>
    <t>IT128</t>
  </si>
  <si>
    <t>Microprocessors</t>
  </si>
  <si>
    <t>TS0086</t>
  </si>
  <si>
    <t>EC121</t>
  </si>
  <si>
    <t>TS0087</t>
  </si>
  <si>
    <t>CE127</t>
  </si>
  <si>
    <t>TS0088</t>
  </si>
  <si>
    <t>EE105</t>
  </si>
  <si>
    <t>R123</t>
  </si>
  <si>
    <t>TS0089</t>
  </si>
  <si>
    <t>TS0090</t>
  </si>
  <si>
    <t>FAC1026</t>
  </si>
  <si>
    <t>TS0091</t>
  </si>
  <si>
    <t>IT109</t>
  </si>
  <si>
    <t>TS0092</t>
  </si>
  <si>
    <t>EC129</t>
  </si>
  <si>
    <t>TS0093</t>
  </si>
  <si>
    <t>IT112</t>
  </si>
  <si>
    <t>FAC1010</t>
  </si>
  <si>
    <t>TS0094</t>
  </si>
  <si>
    <t>TS0095</t>
  </si>
  <si>
    <t>EE107</t>
  </si>
  <si>
    <t>TS0096</t>
  </si>
  <si>
    <t>TS0097</t>
  </si>
  <si>
    <t>R137</t>
  </si>
  <si>
    <t>TS0098</t>
  </si>
  <si>
    <t>MC112</t>
  </si>
  <si>
    <t>TS0099</t>
  </si>
  <si>
    <t>EE114</t>
  </si>
  <si>
    <t>TS0100</t>
  </si>
  <si>
    <t>EE101</t>
  </si>
  <si>
    <t>Faculty Name</t>
  </si>
  <si>
    <t>Designation</t>
  </si>
  <si>
    <t>Qualification</t>
  </si>
  <si>
    <t>Experience (yrs)</t>
  </si>
  <si>
    <t>Subjects Assigned</t>
  </si>
  <si>
    <t>Total Contact Hours</t>
  </si>
  <si>
    <t>Max Allowed Hours</t>
  </si>
  <si>
    <t>Workload Status</t>
  </si>
  <si>
    <t>Academic Year</t>
  </si>
  <si>
    <t>Sunita Sharma</t>
  </si>
  <si>
    <t>Senior Lecturer</t>
  </si>
  <si>
    <t>M.Tech, Ph.D</t>
  </si>
  <si>
    <t>Even</t>
  </si>
  <si>
    <t>2023-24</t>
  </si>
  <si>
    <t>FAC1002</t>
  </si>
  <si>
    <t>Nisha Sharma</t>
  </si>
  <si>
    <t>Assistant Professor</t>
  </si>
  <si>
    <t>Ph.D</t>
  </si>
  <si>
    <t>Ravi Singh</t>
  </si>
  <si>
    <t>Professor</t>
  </si>
  <si>
    <t>B.Tech, M.Tech</t>
  </si>
  <si>
    <t>Odd</t>
  </si>
  <si>
    <t>2024-25</t>
  </si>
  <si>
    <t>FAC1004</t>
  </si>
  <si>
    <t>Uma Patel</t>
  </si>
  <si>
    <t>2025-26</t>
  </si>
  <si>
    <t>Meena Verma</t>
  </si>
  <si>
    <t>Rekha Agarwal</t>
  </si>
  <si>
    <t>Mohan Verma</t>
  </si>
  <si>
    <t>M.E.</t>
  </si>
  <si>
    <t>FAC1008</t>
  </si>
  <si>
    <t>Arun Pandey</t>
  </si>
  <si>
    <t>M.Sc, Ph.D</t>
  </si>
  <si>
    <t>Ravi Chaudhary</t>
  </si>
  <si>
    <t>Lecturer</t>
  </si>
  <si>
    <t>MBA, Ph.D</t>
  </si>
  <si>
    <t>Sanjay Mishra</t>
  </si>
  <si>
    <t>Ravi Verma</t>
  </si>
  <si>
    <t>FAC1012</t>
  </si>
  <si>
    <t>Vikram Tiwari</t>
  </si>
  <si>
    <t>Vikram Singh</t>
  </si>
  <si>
    <t>Anita Singh</t>
  </si>
  <si>
    <t>Meena Yadav</t>
  </si>
  <si>
    <t>Mohan Yadav</t>
  </si>
  <si>
    <t>Associate Professor</t>
  </si>
  <si>
    <t>Kavya Verma</t>
  </si>
  <si>
    <t>Sanjay Yadav</t>
  </si>
  <si>
    <t>FAC1019</t>
  </si>
  <si>
    <t>Kavya Agarwal</t>
  </si>
  <si>
    <t>Lata Chaudhary</t>
  </si>
  <si>
    <t>Swati Yadav</t>
  </si>
  <si>
    <t>Anita Tiwari</t>
  </si>
  <si>
    <t>Pooja Dubey</t>
  </si>
  <si>
    <t>Dinesh Singh</t>
  </si>
  <si>
    <t>Suresh Agarwal</t>
  </si>
  <si>
    <t>Dinesh Patel</t>
  </si>
  <si>
    <t>Mohan Kumar</t>
  </si>
  <si>
    <t>Kavya Joshi</t>
  </si>
  <si>
    <t>Rajesh Tiwari</t>
  </si>
  <si>
    <t>Meena Dubey</t>
  </si>
  <si>
    <t>Prakash Singh</t>
  </si>
  <si>
    <t>FAC1032</t>
  </si>
  <si>
    <t>Deepak Dubey</t>
  </si>
  <si>
    <t>Rajesh Dubey</t>
  </si>
  <si>
    <t>Suresh Dubey</t>
  </si>
  <si>
    <t>Kavya Mishra</t>
  </si>
  <si>
    <t>Vikram Agarwal</t>
  </si>
  <si>
    <t>Pooja Yadav</t>
  </si>
  <si>
    <t>Prakash Pandey</t>
  </si>
  <si>
    <t>Dinesh Gupta</t>
  </si>
  <si>
    <t>Uma Srivastava</t>
  </si>
  <si>
    <t>Arun Gupta</t>
  </si>
  <si>
    <t>FAC1043</t>
  </si>
  <si>
    <t>Suresh Pandey</t>
  </si>
  <si>
    <t>FAC1045</t>
  </si>
  <si>
    <t>Nisha Singh</t>
  </si>
  <si>
    <t>FAC1046</t>
  </si>
  <si>
    <t>Rajesh Mishra</t>
  </si>
  <si>
    <t>Ravi Agarwal</t>
  </si>
  <si>
    <t>Geeta Srivastava</t>
  </si>
  <si>
    <t>Uma Sharma</t>
  </si>
  <si>
    <t>FAC1051</t>
  </si>
  <si>
    <t>Suresh Sharma</t>
  </si>
  <si>
    <t>FAC1052</t>
  </si>
  <si>
    <t>Harish Singh</t>
  </si>
  <si>
    <t>FAC1053</t>
  </si>
  <si>
    <t>Rekha Dubey</t>
  </si>
  <si>
    <t>FAC1054</t>
  </si>
  <si>
    <t>Harish Chaudhary</t>
  </si>
  <si>
    <t>FAC1055</t>
  </si>
  <si>
    <t>Vikram Kumar</t>
  </si>
  <si>
    <t>FAC1056</t>
  </si>
  <si>
    <t>FAC1057</t>
  </si>
  <si>
    <t>Sunita Mishra</t>
  </si>
  <si>
    <t>FAC1058</t>
  </si>
  <si>
    <t>Kavya Patel</t>
  </si>
  <si>
    <t>FAC1059</t>
  </si>
  <si>
    <t>Priya Srivastava</t>
  </si>
  <si>
    <t>FAC1060</t>
  </si>
  <si>
    <t>FAC1061</t>
  </si>
  <si>
    <t>FAC1062</t>
  </si>
  <si>
    <t>Sanjay Tiwari</t>
  </si>
  <si>
    <t>FAC1063</t>
  </si>
  <si>
    <t>Ravi Kumar</t>
  </si>
  <si>
    <t>FAC1064</t>
  </si>
  <si>
    <t>Harish Verma</t>
  </si>
  <si>
    <t>FAC1065</t>
  </si>
  <si>
    <t>Lata Dubey</t>
  </si>
  <si>
    <t>FAC1066</t>
  </si>
  <si>
    <t>Lata Agarwal</t>
  </si>
  <si>
    <t>FAC1067</t>
  </si>
  <si>
    <t>Rajesh Agarwal</t>
  </si>
  <si>
    <t>FAC1068</t>
  </si>
  <si>
    <t>FAC1069</t>
  </si>
  <si>
    <t>FAC1070</t>
  </si>
  <si>
    <t>Sanjay Verma</t>
  </si>
  <si>
    <t>FAC1071</t>
  </si>
  <si>
    <t>Rekha Chaudhary</t>
  </si>
  <si>
    <t>FAC1072</t>
  </si>
  <si>
    <t>Priya Dubey</t>
  </si>
  <si>
    <t>FAC1073</t>
  </si>
  <si>
    <t>Meena Chaudhary</t>
  </si>
  <si>
    <t>FAC1074</t>
  </si>
  <si>
    <t>FAC1075</t>
  </si>
  <si>
    <t>Dinesh Tiwari</t>
  </si>
  <si>
    <t>FAC1076</t>
  </si>
  <si>
    <t>FAC1077</t>
  </si>
  <si>
    <t>Nisha Yadav</t>
  </si>
  <si>
    <t>FAC1078</t>
  </si>
  <si>
    <t>FAC1079</t>
  </si>
  <si>
    <t>FAC1080</t>
  </si>
  <si>
    <t>FAC1081</t>
  </si>
  <si>
    <t>FAC1082</t>
  </si>
  <si>
    <t>Kavya Singh</t>
  </si>
  <si>
    <t>FAC1083</t>
  </si>
  <si>
    <t>Arun Singh</t>
  </si>
  <si>
    <t>FAC1084</t>
  </si>
  <si>
    <t>Amit Mishra</t>
  </si>
  <si>
    <t>FAC1085</t>
  </si>
  <si>
    <t>Rekha Joshi</t>
  </si>
  <si>
    <t>FAC1086</t>
  </si>
  <si>
    <t>Anita Verma</t>
  </si>
  <si>
    <t>FAC1087</t>
  </si>
  <si>
    <t>Sanjay Joshi</t>
  </si>
  <si>
    <t>FAC1088</t>
  </si>
  <si>
    <t>Lata Joshi</t>
  </si>
  <si>
    <t>FAC1089</t>
  </si>
  <si>
    <t>FAC1090</t>
  </si>
  <si>
    <t>Amit Gupta</t>
  </si>
  <si>
    <t>FAC1091</t>
  </si>
  <si>
    <t>FAC1092</t>
  </si>
  <si>
    <t>Ravi Sharma</t>
  </si>
  <si>
    <t>FAC1093</t>
  </si>
  <si>
    <t>FAC1094</t>
  </si>
  <si>
    <t>Amit Kumar</t>
  </si>
  <si>
    <t>FAC1095</t>
  </si>
  <si>
    <t>FAC1096</t>
  </si>
  <si>
    <t>Prakash Yadav</t>
  </si>
  <si>
    <t>FAC1097</t>
  </si>
  <si>
    <t>Nisha Kumar</t>
  </si>
  <si>
    <t>FAC1098</t>
  </si>
  <si>
    <t>Kavya Sharma</t>
  </si>
  <si>
    <t>FAC1099</t>
  </si>
  <si>
    <t>Geeta Patel</t>
  </si>
  <si>
    <t>FAC1100</t>
  </si>
  <si>
    <t>Pooja Verma</t>
  </si>
  <si>
    <t>Room ID</t>
  </si>
  <si>
    <t>Seminar Room</t>
  </si>
  <si>
    <t>Smart Classroom</t>
  </si>
  <si>
    <t>R140</t>
  </si>
  <si>
    <t>Wed  nes   day</t>
  </si>
  <si>
    <t>T   ues   day</t>
  </si>
  <si>
    <t>Thu      rsday</t>
  </si>
  <si>
    <t>Wedne     sday</t>
  </si>
  <si>
    <t>Sa   tur  day</t>
  </si>
  <si>
    <t>Conflict Flag</t>
  </si>
  <si>
    <t>Meena       Verma</t>
  </si>
  <si>
    <t>Anita   Singh</t>
  </si>
  <si>
    <t>Dinesh        Yadav</t>
  </si>
  <si>
    <t>Meena       Chaudhary</t>
  </si>
  <si>
    <t>Senior     Lecturer</t>
  </si>
  <si>
    <t>Kavya      Agarwal</t>
  </si>
  <si>
    <t>Mohan       Kumar</t>
  </si>
  <si>
    <t>Prakash      Singh</t>
  </si>
  <si>
    <t>Arun      Gupta</t>
  </si>
  <si>
    <t>Geeta      Srivastava</t>
  </si>
  <si>
    <t>Vikram    Kumar</t>
  </si>
  <si>
    <t>Rajesh    Agarwal</t>
  </si>
  <si>
    <t>Priya    Kumar</t>
  </si>
  <si>
    <t>Suresh    Agarwal</t>
  </si>
  <si>
    <t>Kavya     Joshi</t>
  </si>
  <si>
    <t>Assistant     Professor</t>
  </si>
  <si>
    <t>Associate    Professor</t>
  </si>
  <si>
    <t>Associate      Professor</t>
  </si>
  <si>
    <t>Senior      Lecturer</t>
  </si>
  <si>
    <t>C  SE</t>
  </si>
  <si>
    <t>M  C A</t>
  </si>
  <si>
    <t>C   S E</t>
  </si>
  <si>
    <t>C  E</t>
  </si>
  <si>
    <t>M     BA</t>
  </si>
  <si>
    <t>EC     E</t>
  </si>
  <si>
    <t>E   E    E</t>
  </si>
  <si>
    <t>M    C   A</t>
  </si>
  <si>
    <t>C   S  E</t>
  </si>
  <si>
    <t>M   E</t>
  </si>
  <si>
    <t>CS    E</t>
  </si>
  <si>
    <t>Ravi     Agarwal</t>
  </si>
  <si>
    <t>Unknown</t>
  </si>
  <si>
    <t xml:space="preserve"> </t>
  </si>
  <si>
    <t>Theory hrs/wk</t>
  </si>
  <si>
    <t xml:space="preserve"> Lab hrs/wk</t>
  </si>
  <si>
    <t/>
  </si>
  <si>
    <t>Allocated slots/wk</t>
  </si>
  <si>
    <t>Available slots/wk</t>
  </si>
  <si>
    <t>Utilisation Status</t>
  </si>
  <si>
    <t>Utilisation %</t>
  </si>
  <si>
    <t>Utilised slots/wk</t>
  </si>
  <si>
    <t>Row Labels</t>
  </si>
  <si>
    <t>Grand Total</t>
  </si>
  <si>
    <t>Timetable Data Entry</t>
  </si>
  <si>
    <t>Columns</t>
  </si>
  <si>
    <t>Enter data</t>
  </si>
  <si>
    <t>Helper column for subject code</t>
  </si>
  <si>
    <t>Helper Column for Faculty ID</t>
  </si>
  <si>
    <t>Links to all sheets in this workbook</t>
  </si>
  <si>
    <t>Timetable and Workload Manager Dashboard</t>
  </si>
  <si>
    <t>Classes</t>
  </si>
  <si>
    <t>Subjects</t>
  </si>
  <si>
    <t>Total Subjects</t>
  </si>
  <si>
    <t>Total Classes</t>
  </si>
  <si>
    <t>Conflict %</t>
  </si>
  <si>
    <t>Total Faculties</t>
  </si>
  <si>
    <t>Properly Utilised</t>
  </si>
  <si>
    <t>Underutilised</t>
  </si>
  <si>
    <t>Overutilised</t>
  </si>
  <si>
    <t>Timetable Pivot</t>
  </si>
  <si>
    <t>Faculty Pivot</t>
  </si>
  <si>
    <t>1. Data Cleaning</t>
  </si>
  <si>
    <t>2. Timetable Entry</t>
  </si>
  <si>
    <t>3. Raw Timetable</t>
  </si>
  <si>
    <t>4. Clean Timetable</t>
  </si>
  <si>
    <t xml:space="preserve">5. Raw Faculty Data </t>
  </si>
  <si>
    <t>6. Clean Faculty Data &amp; Workload</t>
  </si>
  <si>
    <t>7. Raw Room Utilisation</t>
  </si>
  <si>
    <t>8. Modified Room Utilisation</t>
  </si>
  <si>
    <t>9. Pivot Tables</t>
  </si>
  <si>
    <t>10. Dashboard</t>
  </si>
  <si>
    <t>Sum of Total Contact Hours</t>
  </si>
  <si>
    <t>Back to Index</t>
  </si>
  <si>
    <t>TS0101</t>
  </si>
  <si>
    <t>Should start with</t>
  </si>
  <si>
    <t>EC123</t>
  </si>
  <si>
    <t>TS0102</t>
  </si>
  <si>
    <t>CS111</t>
  </si>
  <si>
    <t>Enter value above</t>
  </si>
  <si>
    <t>TS0103</t>
  </si>
  <si>
    <t xml:space="preserve">Thursday </t>
  </si>
  <si>
    <t>CE111</t>
  </si>
  <si>
    <t>TS0104</t>
  </si>
  <si>
    <t>TS0105</t>
  </si>
  <si>
    <t xml:space="preserve">Friday </t>
  </si>
  <si>
    <t>Technique</t>
  </si>
  <si>
    <t>Common Problems</t>
  </si>
  <si>
    <t>Excel Function</t>
  </si>
  <si>
    <t>Remove Duplicates</t>
  </si>
  <si>
    <t>Repeated rows inflate totals in PivotTables</t>
  </si>
  <si>
    <t>COUNTIF, Remove Duplicates</t>
  </si>
  <si>
    <t>Trim Extra Spaces</t>
  </si>
  <si>
    <t>Spaces cause LOOKUP mismatches</t>
  </si>
  <si>
    <t>TRIM, CLEAN</t>
  </si>
  <si>
    <t>Convert numbers stored as text</t>
  </si>
  <si>
    <t>Causes type mismatch error</t>
  </si>
  <si>
    <t>VALUE</t>
  </si>
  <si>
    <t>Handle Missing Values</t>
  </si>
  <si>
    <t>Blanks cause formula errors</t>
  </si>
  <si>
    <t>IF, ISBLANK, IFERROR</t>
  </si>
  <si>
    <t>Remove Blank rows</t>
  </si>
  <si>
    <t>Blank rows cause formula errors, improper spill errors</t>
  </si>
  <si>
    <t>ISBLANK, delete rows</t>
  </si>
  <si>
    <t>Adjust Column, Row sizes</t>
  </si>
  <si>
    <t>Improper sizes look unprofessional</t>
  </si>
  <si>
    <t>Format, Autofit</t>
  </si>
  <si>
    <t xml:space="preserve">Sl. No. </t>
  </si>
  <si>
    <t>Data Cleaning Techniques</t>
  </si>
  <si>
    <t>TS0106</t>
  </si>
  <si>
    <t>TS0107</t>
  </si>
  <si>
    <t>EE122</t>
  </si>
  <si>
    <t>Avg Contact hrs/wk</t>
  </si>
  <si>
    <t>Normal Load %</t>
  </si>
  <si>
    <t>Total Rooms</t>
  </si>
  <si>
    <t>Proper Room Utilisation %</t>
  </si>
  <si>
    <t>Room Utilisation</t>
  </si>
  <si>
    <t>Max of Utilisation %</t>
  </si>
  <si>
    <t>Max Util %</t>
  </si>
  <si>
    <t>Room % helper</t>
  </si>
  <si>
    <t>TS0108</t>
  </si>
  <si>
    <t>CS113</t>
  </si>
  <si>
    <t>TS0109</t>
  </si>
  <si>
    <t>ME112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</si>
</sst>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rgb="FFFFFFFF"/>
      <name val="Arial"/>
    </font>
    <font>
      <sz val="10"/>
      <name val="Arial"/>
    </font>
    <font>
      <sz val="8"/>
      <name val="Calibri"/>
      <family val="2"/>
      <scheme val="minor"/>
    </font>
    <font>
      <sz val="11"/>
      <color theme="1"/>
      <name val="Calibri"/>
      <family val="2"/>
      <scheme val="minor"/>
    </font>
    <font>
      <sz val="11"/>
      <color theme="0"/>
      <name val="Calibri"/>
      <family val="2"/>
      <scheme val="minor"/>
    </font>
    <font>
      <sz val="11"/>
      <color rgb="FF000000"/>
      <name val="Calibri"/>
      <family val="2"/>
      <scheme val="minor"/>
    </font>
    <font>
      <b/>
      <sz val="11"/>
      <color rgb="FFFFFFFF"/>
      <name val="Arial"/>
      <family val="2"/>
    </font>
    <font>
      <sz val="36"/>
      <color theme="7" tint="-0.499984740745262"/>
      <name val="Calibri"/>
      <family val="2"/>
      <scheme val="minor"/>
    </font>
    <font>
      <sz val="18"/>
      <color theme="3"/>
      <name val="Cambria"/>
      <family val="2"/>
      <scheme val="major"/>
    </font>
    <font>
      <sz val="18"/>
      <color theme="5" tint="0.79998168889431442"/>
      <name val="Cambria"/>
      <family val="2"/>
      <scheme val="major"/>
    </font>
    <font>
      <sz val="36"/>
      <color theme="4" tint="0.79998168889431442"/>
      <name val="Calibri"/>
      <family val="2"/>
      <scheme val="minor"/>
    </font>
    <font>
      <sz val="14"/>
      <color theme="0"/>
      <name val="Calibri"/>
      <family val="2"/>
      <scheme val="minor"/>
    </font>
    <font>
      <u/>
      <sz val="11"/>
      <color theme="10"/>
      <name val="Calibri"/>
      <family val="2"/>
      <scheme val="minor"/>
    </font>
    <font>
      <u/>
      <sz val="24"/>
      <color theme="10"/>
      <name val="Calibri"/>
      <family val="2"/>
      <scheme val="minor"/>
    </font>
    <font>
      <u/>
      <sz val="14"/>
      <color theme="10"/>
      <name val="Calibri"/>
      <family val="2"/>
      <scheme val="minor"/>
    </font>
    <font>
      <b/>
      <sz val="9"/>
      <name val="Segoe UI"/>
      <family val="2"/>
    </font>
    <font>
      <sz val="18"/>
      <color theme="3"/>
      <name val="Cambria"/>
      <family val="1"/>
      <scheme val="major"/>
    </font>
    <font>
      <sz val="11"/>
      <color rgb="FF000000"/>
      <name val="Calibri"/>
      <family val="2"/>
    </font>
    <font>
      <sz val="24"/>
      <color rgb="FFF2F2F2"/>
      <name val="Calibri"/>
      <family val="2"/>
      <scheme val="minor"/>
    </font>
    <font>
      <sz val="9.5"/>
      <color rgb="FF000000"/>
      <name val="Arial"/>
      <family val="2"/>
    </font>
    <font>
      <sz val="11"/>
      <color theme="2"/>
      <name val="Calibri"/>
      <family val="2"/>
      <scheme val="minor"/>
    </font>
    <font>
      <sz val="28"/>
      <color theme="2"/>
      <name val="Calibri"/>
      <family val="2"/>
      <scheme val="minor"/>
    </font>
    <font>
      <sz val="28"/>
      <color theme="1"/>
      <name val="Calibri"/>
      <family val="2"/>
      <scheme val="minor"/>
    </font>
  </fonts>
  <fills count="24">
    <fill>
      <patternFill patternType="none"/>
    </fill>
    <fill>
      <patternFill patternType="gray125"/>
    </fill>
    <fill>
      <patternFill patternType="solid">
        <fgColor rgb="FF1F3864"/>
        <bgColor rgb="FF1F3864"/>
      </patternFill>
    </fill>
    <fill>
      <patternFill patternType="solid">
        <fgColor rgb="FFD9E1F2"/>
        <bgColor rgb="FFD9E1F2"/>
      </patternFill>
    </fill>
    <fill>
      <patternFill patternType="solid">
        <fgColor rgb="FF1E4D2B"/>
        <bgColor rgb="FF1E4D2B"/>
      </patternFill>
    </fill>
    <fill>
      <patternFill patternType="solid">
        <fgColor rgb="FFFFE0E0"/>
        <bgColor rgb="FFFFE0E0"/>
      </patternFill>
    </fill>
    <fill>
      <patternFill patternType="solid">
        <fgColor rgb="FFE2EFDA"/>
        <bgColor rgb="FFE2EFDA"/>
      </patternFill>
    </fill>
    <fill>
      <patternFill patternType="solid">
        <fgColor theme="7" tint="0.79998168889431442"/>
        <bgColor indexed="65"/>
      </patternFill>
    </fill>
    <fill>
      <patternFill patternType="solid">
        <fgColor rgb="FFD9D9D9"/>
        <bgColor rgb="FFD9D9D9"/>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rgb="FF0070C0"/>
        <bgColor indexed="64"/>
      </patternFill>
    </fill>
    <fill>
      <patternFill patternType="solid">
        <fgColor theme="4"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FCD5B4"/>
        <bgColor rgb="FF000000"/>
      </patternFill>
    </fill>
    <fill>
      <patternFill patternType="solid">
        <fgColor theme="2" tint="-9.9978637043366805E-2"/>
        <bgColor indexed="64"/>
      </patternFill>
    </fill>
    <fill>
      <patternFill patternType="solid">
        <fgColor rgb="FF60497A"/>
        <bgColor rgb="FF000000"/>
      </patternFill>
    </fill>
    <fill>
      <patternFill patternType="solid">
        <fgColor rgb="FFC4D79B"/>
        <bgColor rgb="FF000000"/>
      </patternFill>
    </fill>
    <fill>
      <patternFill patternType="solid">
        <fgColor theme="7" tint="0.59999389629810485"/>
        <bgColor indexed="64"/>
      </patternFill>
    </fill>
    <fill>
      <patternFill patternType="solid">
        <fgColor theme="6" tint="0.59999389629810485"/>
        <bgColor indexed="64"/>
      </patternFill>
    </fill>
    <fill>
      <patternFill patternType="solid">
        <fgColor theme="7" tint="-0.499984740745262"/>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style="thin">
        <color indexed="64"/>
      </right>
      <top style="thin">
        <color indexed="64"/>
      </top>
      <bottom style="thin">
        <color indexed="64"/>
      </bottom>
      <diagonal/>
    </border>
    <border>
      <left style="thin">
        <color theme="0"/>
      </left>
      <right/>
      <top style="thin">
        <color theme="0"/>
      </top>
      <bottom style="thin">
        <color theme="0"/>
      </bottom>
      <diagonal/>
    </border>
    <border>
      <left style="thin">
        <color theme="0"/>
      </left>
      <right/>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bottom/>
      <diagonal/>
    </border>
    <border>
      <left/>
      <right style="thin">
        <color auto="1"/>
      </right>
      <top/>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right/>
      <top/>
      <bottom style="thin">
        <color rgb="FF000000"/>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xf numFmtId="0" fontId="4" fillId="7" borderId="0" applyNumberFormat="0" applyBorder="0" applyAlignment="0" applyProtection="0"/>
    <xf numFmtId="0" fontId="9" fillId="0" borderId="0" applyNumberFormat="0" applyFill="0" applyBorder="0" applyAlignment="0" applyProtection="0"/>
    <xf numFmtId="0" fontId="13" fillId="0" borderId="0" applyNumberFormat="0" applyFill="0" applyBorder="0" applyAlignment="0" applyProtection="0"/>
  </cellStyleXfs>
  <cellXfs count="79">
    <xf numFmtId="0" fontId="0" fillId="0" borderId="0" xfId="0"/>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0" borderId="1" xfId="0" applyFont="1" applyBorder="1" applyAlignment="1">
      <alignment horizontal="center" vertical="center"/>
    </xf>
    <xf numFmtId="0" fontId="1"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6" borderId="1" xfId="0" applyFont="1" applyFill="1" applyBorder="1" applyAlignment="1">
      <alignment horizontal="center" vertical="center"/>
    </xf>
    <xf numFmtId="0" fontId="0" fillId="0" borderId="1" xfId="0" applyBorder="1"/>
    <xf numFmtId="0" fontId="0" fillId="0" borderId="2" xfId="0" applyBorder="1"/>
    <xf numFmtId="0" fontId="0" fillId="0" borderId="3" xfId="0" applyBorder="1"/>
    <xf numFmtId="0" fontId="2" fillId="5" borderId="4" xfId="0" applyFont="1" applyFill="1" applyBorder="1" applyAlignment="1">
      <alignment horizontal="center" vertical="center"/>
    </xf>
    <xf numFmtId="0" fontId="2" fillId="5" borderId="2" xfId="0" applyFont="1" applyFill="1" applyBorder="1" applyAlignment="1">
      <alignment horizontal="center" vertical="center"/>
    </xf>
    <xf numFmtId="0" fontId="0" fillId="0" borderId="0" xfId="0" applyAlignment="1">
      <alignment horizontal="right"/>
    </xf>
    <xf numFmtId="0" fontId="0" fillId="0" borderId="1" xfId="0" applyBorder="1" applyAlignment="1">
      <alignment horizontal="right"/>
    </xf>
    <xf numFmtId="0" fontId="6" fillId="8" borderId="1" xfId="0" applyFont="1" applyFill="1" applyBorder="1"/>
    <xf numFmtId="0" fontId="6" fillId="0" borderId="1" xfId="0" applyFont="1" applyBorder="1"/>
    <xf numFmtId="0" fontId="4" fillId="7" borderId="1" xfId="1" applyBorder="1" applyAlignment="1">
      <alignment horizontal="center" vertical="center"/>
    </xf>
    <xf numFmtId="0" fontId="4" fillId="7" borderId="1" xfId="1" applyBorder="1"/>
    <xf numFmtId="0" fontId="5" fillId="9" borderId="1" xfId="1" applyFont="1" applyFill="1" applyBorder="1" applyAlignment="1">
      <alignment horizontal="center" vertical="center"/>
    </xf>
    <xf numFmtId="0" fontId="0" fillId="0" borderId="0" xfId="0" pivotButton="1"/>
    <xf numFmtId="0" fontId="0" fillId="0" borderId="0" xfId="0" applyAlignment="1">
      <alignment horizontal="left"/>
    </xf>
    <xf numFmtId="0" fontId="7" fillId="2" borderId="1" xfId="0" applyFont="1" applyFill="1" applyBorder="1" applyAlignment="1">
      <alignment horizontal="center" vertical="center"/>
    </xf>
    <xf numFmtId="0" fontId="6" fillId="0" borderId="0" xfId="0" applyFont="1"/>
    <xf numFmtId="0" fontId="9" fillId="11" borderId="1" xfId="2" applyFill="1" applyBorder="1"/>
    <xf numFmtId="0" fontId="9" fillId="0" borderId="1" xfId="2" applyBorder="1"/>
    <xf numFmtId="0" fontId="9" fillId="0" borderId="1" xfId="2" applyBorder="1" applyAlignment="1">
      <alignment horizontal="left"/>
    </xf>
    <xf numFmtId="0" fontId="10" fillId="10" borderId="6" xfId="2" applyFont="1" applyFill="1" applyBorder="1"/>
    <xf numFmtId="0" fontId="10" fillId="10" borderId="5" xfId="2" applyFont="1" applyFill="1" applyBorder="1"/>
    <xf numFmtId="0" fontId="5" fillId="13" borderId="0" xfId="0" applyFont="1" applyFill="1"/>
    <xf numFmtId="0" fontId="17" fillId="0" borderId="0" xfId="0" applyFont="1"/>
    <xf numFmtId="0" fontId="16" fillId="18" borderId="0" xfId="0" applyFont="1" applyFill="1" applyAlignment="1">
      <alignment vertical="center"/>
    </xf>
    <xf numFmtId="0" fontId="9" fillId="0" borderId="12" xfId="2" applyFill="1" applyBorder="1"/>
    <xf numFmtId="0" fontId="17" fillId="0" borderId="1" xfId="0" applyFont="1" applyBorder="1"/>
    <xf numFmtId="0" fontId="0" fillId="0" borderId="4" xfId="0" applyBorder="1"/>
    <xf numFmtId="0" fontId="0" fillId="0" borderId="13" xfId="0" applyBorder="1"/>
    <xf numFmtId="0" fontId="0" fillId="0" borderId="14" xfId="0" applyBorder="1"/>
    <xf numFmtId="0" fontId="0" fillId="0" borderId="15" xfId="0" applyBorder="1"/>
    <xf numFmtId="0" fontId="6" fillId="20" borderId="2" xfId="0" applyFont="1" applyFill="1" applyBorder="1"/>
    <xf numFmtId="0" fontId="6" fillId="20" borderId="10" xfId="0" applyFont="1" applyFill="1" applyBorder="1"/>
    <xf numFmtId="0" fontId="6" fillId="0" borderId="15" xfId="0" applyFont="1" applyBorder="1"/>
    <xf numFmtId="0" fontId="20" fillId="0" borderId="4" xfId="0" applyFont="1" applyBorder="1"/>
    <xf numFmtId="0" fontId="6" fillId="0" borderId="4" xfId="0" applyFont="1"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22" borderId="0" xfId="0" applyFill="1"/>
    <xf numFmtId="0" fontId="0" fillId="22" borderId="0" xfId="0" applyFill="1" applyAlignment="1">
      <alignment horizontal="center"/>
    </xf>
    <xf numFmtId="0" fontId="0" fillId="22" borderId="0" xfId="0" applyFill="1" applyAlignment="1">
      <alignment horizontal="left"/>
    </xf>
    <xf numFmtId="0" fontId="21" fillId="9" borderId="22" xfId="0" applyFont="1" applyFill="1" applyBorder="1"/>
    <xf numFmtId="0" fontId="21" fillId="9" borderId="22" xfId="0" applyFont="1" applyFill="1" applyBorder="1" applyAlignment="1">
      <alignment horizontal="center"/>
    </xf>
    <xf numFmtId="0" fontId="0" fillId="21" borderId="22" xfId="0" applyFill="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16" borderId="22" xfId="0" applyFill="1" applyBorder="1" applyAlignment="1">
      <alignment horizontal="center"/>
    </xf>
    <xf numFmtId="2" fontId="0" fillId="16" borderId="22" xfId="0" applyNumberFormat="1" applyFill="1" applyBorder="1" applyAlignment="1">
      <alignment horizontal="center"/>
    </xf>
    <xf numFmtId="0" fontId="21" fillId="9" borderId="22" xfId="0" applyFont="1" applyFill="1" applyBorder="1" applyAlignment="1">
      <alignment horizontal="left"/>
    </xf>
    <xf numFmtId="0" fontId="0" fillId="16" borderId="22" xfId="0" applyFill="1" applyBorder="1" applyAlignment="1">
      <alignment horizontal="center"/>
    </xf>
    <xf numFmtId="0" fontId="22" fillId="23" borderId="0" xfId="0" applyFont="1" applyFill="1" applyAlignment="1">
      <alignment horizontal="center" vertical="center"/>
    </xf>
    <xf numFmtId="0" fontId="23" fillId="23" borderId="0" xfId="0" applyFont="1" applyFill="1" applyAlignment="1">
      <alignment horizontal="center" vertical="center"/>
    </xf>
    <xf numFmtId="0" fontId="13" fillId="17" borderId="7" xfId="3" applyFill="1" applyBorder="1" applyAlignment="1">
      <alignment horizontal="center" vertical="center"/>
    </xf>
    <xf numFmtId="0" fontId="13" fillId="17" borderId="8" xfId="3" applyFill="1" applyBorder="1" applyAlignment="1">
      <alignment horizontal="center" vertical="center"/>
    </xf>
    <xf numFmtId="0" fontId="13" fillId="17" borderId="9" xfId="3" applyFill="1" applyBorder="1" applyAlignment="1">
      <alignment horizontal="center" vertical="center"/>
    </xf>
    <xf numFmtId="0" fontId="13" fillId="17" borderId="10" xfId="3" applyFill="1" applyBorder="1" applyAlignment="1">
      <alignment horizontal="center" vertical="center"/>
    </xf>
    <xf numFmtId="0" fontId="11" fillId="14" borderId="1" xfId="0" applyFont="1" applyFill="1" applyBorder="1" applyAlignment="1">
      <alignment horizontal="center" vertical="center"/>
    </xf>
    <xf numFmtId="0" fontId="14" fillId="15" borderId="1" xfId="3" applyFont="1" applyFill="1" applyBorder="1" applyAlignment="1">
      <alignment horizontal="center"/>
    </xf>
    <xf numFmtId="0" fontId="19" fillId="19" borderId="0" xfId="0" applyFont="1" applyFill="1" applyAlignment="1">
      <alignment horizontal="center" vertical="center"/>
    </xf>
    <xf numFmtId="0" fontId="19" fillId="19" borderId="16" xfId="0" applyFont="1" applyFill="1" applyBorder="1" applyAlignment="1">
      <alignment horizontal="center" vertical="center"/>
    </xf>
    <xf numFmtId="0" fontId="8" fillId="12" borderId="0" xfId="0" applyFont="1" applyFill="1" applyAlignment="1">
      <alignment horizontal="center" vertical="center"/>
    </xf>
    <xf numFmtId="0" fontId="15" fillId="16" borderId="1" xfId="3" applyFont="1" applyFill="1" applyBorder="1" applyAlignment="1">
      <alignment horizontal="center" vertical="center"/>
    </xf>
    <xf numFmtId="0" fontId="0" fillId="18" borderId="11" xfId="0" applyFill="1" applyBorder="1" applyAlignment="1">
      <alignment horizontal="center" vertical="center" wrapText="1"/>
    </xf>
    <xf numFmtId="0" fontId="0" fillId="18" borderId="0" xfId="0" applyFill="1" applyAlignment="1">
      <alignment horizontal="center" vertical="center" wrapText="1"/>
    </xf>
    <xf numFmtId="0" fontId="12" fillId="9" borderId="0" xfId="0" applyFont="1" applyFill="1" applyAlignment="1">
      <alignment horizontal="center" vertical="center"/>
    </xf>
  </cellXfs>
  <cellStyles count="4">
    <cellStyle name="20% - Accent4" xfId="1" builtinId="42"/>
    <cellStyle name="Hyperlink" xfId="3" builtinId="8"/>
    <cellStyle name="Normal" xfId="0" builtinId="0"/>
    <cellStyle name="Title" xfId="2" builtinId="15"/>
  </cellStyles>
  <dxfs count="42">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[Smart_Timetable_Workload_Macro.xlsm]Pivot Tables!PivotTable3</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Tables'!$F$3</c:f>
              <c:strCache>
                <c:ptCount val="1"/>
                <c:pt idx="0">
                  <c:v>Total</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Tables'!$E$4:$E$51</c:f>
              <c:strCache>
                <c:ptCount val="47"/>
                <c:pt idx="0">
                  <c:v>Anita Singh</c:v>
                </c:pt>
                <c:pt idx="1">
                  <c:v>Anita Tiwari</c:v>
                </c:pt>
                <c:pt idx="2">
                  <c:v>Arun Gupta</c:v>
                </c:pt>
                <c:pt idx="3">
                  <c:v>Arun Pandey</c:v>
                </c:pt>
                <c:pt idx="4">
                  <c:v>Deepak Dubey</c:v>
                </c:pt>
                <c:pt idx="5">
                  <c:v>Dinesh Gupta</c:v>
                </c:pt>
                <c:pt idx="6">
                  <c:v>Dinesh Patel</c:v>
                </c:pt>
                <c:pt idx="7">
                  <c:v>Dinesh Singh</c:v>
                </c:pt>
                <c:pt idx="8">
                  <c:v>Geeta Srivastava</c:v>
                </c:pt>
                <c:pt idx="9">
                  <c:v>Kavya Agarwal</c:v>
                </c:pt>
                <c:pt idx="10">
                  <c:v>Kavya Joshi</c:v>
                </c:pt>
                <c:pt idx="11">
                  <c:v>Kavya Mishra</c:v>
                </c:pt>
                <c:pt idx="12">
                  <c:v>Kavya Verma</c:v>
                </c:pt>
                <c:pt idx="13">
                  <c:v>Lata Chaudhary</c:v>
                </c:pt>
                <c:pt idx="14">
                  <c:v>Meena Dubey</c:v>
                </c:pt>
                <c:pt idx="15">
                  <c:v>Meena Verma</c:v>
                </c:pt>
                <c:pt idx="16">
                  <c:v>Meena Yadav</c:v>
                </c:pt>
                <c:pt idx="17">
                  <c:v>Mohan Kumar</c:v>
                </c:pt>
                <c:pt idx="18">
                  <c:v>Mohan Verma</c:v>
                </c:pt>
                <c:pt idx="19">
                  <c:v>Mohan Yadav</c:v>
                </c:pt>
                <c:pt idx="20">
                  <c:v>Nisha Sharma</c:v>
                </c:pt>
                <c:pt idx="21">
                  <c:v>Nisha Singh</c:v>
                </c:pt>
                <c:pt idx="22">
                  <c:v>Pooja Dubey</c:v>
                </c:pt>
                <c:pt idx="23">
                  <c:v>Pooja Yadav</c:v>
                </c:pt>
                <c:pt idx="24">
                  <c:v>Prakash Pandey</c:v>
                </c:pt>
                <c:pt idx="25">
                  <c:v>Prakash Singh</c:v>
                </c:pt>
                <c:pt idx="26">
                  <c:v>Rajesh Dubey</c:v>
                </c:pt>
                <c:pt idx="27">
                  <c:v>Rajesh Mishra</c:v>
                </c:pt>
                <c:pt idx="28">
                  <c:v>Rajesh Tiwari</c:v>
                </c:pt>
                <c:pt idx="29">
                  <c:v>Ravi Agarwal</c:v>
                </c:pt>
                <c:pt idx="30">
                  <c:v>Ravi Chaudhary</c:v>
                </c:pt>
                <c:pt idx="31">
                  <c:v>Ravi Singh</c:v>
                </c:pt>
                <c:pt idx="32">
                  <c:v>Ravi Verma</c:v>
                </c:pt>
                <c:pt idx="33">
                  <c:v>Rekha Agarwal</c:v>
                </c:pt>
                <c:pt idx="34">
                  <c:v>Sanjay Mishra</c:v>
                </c:pt>
                <c:pt idx="35">
                  <c:v>Sanjay Yadav</c:v>
                </c:pt>
                <c:pt idx="36">
                  <c:v>Sunita Sharma</c:v>
                </c:pt>
                <c:pt idx="37">
                  <c:v>Suresh Agarwal</c:v>
                </c:pt>
                <c:pt idx="38">
                  <c:v>Suresh Dubey</c:v>
                </c:pt>
                <c:pt idx="39">
                  <c:v>Suresh Pandey</c:v>
                </c:pt>
                <c:pt idx="40">
                  <c:v>Swati Yadav</c:v>
                </c:pt>
                <c:pt idx="41">
                  <c:v>Uma Patel</c:v>
                </c:pt>
                <c:pt idx="42">
                  <c:v>Uma Sharma</c:v>
                </c:pt>
                <c:pt idx="43">
                  <c:v>Uma Srivastava</c:v>
                </c:pt>
                <c:pt idx="44">
                  <c:v>Vikram Agarwal</c:v>
                </c:pt>
                <c:pt idx="45">
                  <c:v>Vikram Singh</c:v>
                </c:pt>
                <c:pt idx="46">
                  <c:v>Vikram Tiwari</c:v>
                </c:pt>
              </c:strCache>
            </c:strRef>
          </c:cat>
          <c:val>
            <c:numRef>
              <c:f>'Pivot Tables'!$F$4:$F$51</c:f>
              <c:numCache>
                <c:formatCode>General</c:formatCode>
                <c:ptCount val="47"/>
                <c:pt idx="0">
                  <c:v>8</c:v>
                </c:pt>
                <c:pt idx="1">
                  <c:v>6</c:v>
                </c:pt>
                <c:pt idx="2">
                  <c:v>9</c:v>
                </c:pt>
                <c:pt idx="3">
                  <c:v>0</c:v>
                </c:pt>
                <c:pt idx="4">
                  <c:v>0</c:v>
                </c:pt>
                <c:pt idx="5">
                  <c:v>4</c:v>
                </c:pt>
                <c:pt idx="6">
                  <c:v>2</c:v>
                </c:pt>
                <c:pt idx="7">
                  <c:v>5</c:v>
                </c:pt>
                <c:pt idx="8">
                  <c:v>5</c:v>
                </c:pt>
                <c:pt idx="9">
                  <c:v>0</c:v>
                </c:pt>
                <c:pt idx="10">
                  <c:v>8</c:v>
                </c:pt>
                <c:pt idx="11">
                  <c:v>12</c:v>
                </c:pt>
                <c:pt idx="12">
                  <c:v>9</c:v>
                </c:pt>
                <c:pt idx="13">
                  <c:v>2</c:v>
                </c:pt>
                <c:pt idx="14">
                  <c:v>16</c:v>
                </c:pt>
                <c:pt idx="15">
                  <c:v>5</c:v>
                </c:pt>
                <c:pt idx="16">
                  <c:v>13</c:v>
                </c:pt>
                <c:pt idx="17">
                  <c:v>5</c:v>
                </c:pt>
                <c:pt idx="18">
                  <c:v>1</c:v>
                </c:pt>
                <c:pt idx="19">
                  <c:v>8</c:v>
                </c:pt>
                <c:pt idx="20">
                  <c:v>0</c:v>
                </c:pt>
                <c:pt idx="21">
                  <c:v>0</c:v>
                </c:pt>
                <c:pt idx="22">
                  <c:v>5</c:v>
                </c:pt>
                <c:pt idx="23">
                  <c:v>2</c:v>
                </c:pt>
                <c:pt idx="24">
                  <c:v>5</c:v>
                </c:pt>
                <c:pt idx="25">
                  <c:v>7</c:v>
                </c:pt>
                <c:pt idx="26">
                  <c:v>4</c:v>
                </c:pt>
                <c:pt idx="27">
                  <c:v>0</c:v>
                </c:pt>
                <c:pt idx="28">
                  <c:v>12</c:v>
                </c:pt>
                <c:pt idx="29">
                  <c:v>6</c:v>
                </c:pt>
                <c:pt idx="30">
                  <c:v>13</c:v>
                </c:pt>
                <c:pt idx="31">
                  <c:v>5</c:v>
                </c:pt>
                <c:pt idx="32">
                  <c:v>3</c:v>
                </c:pt>
                <c:pt idx="33">
                  <c:v>1</c:v>
                </c:pt>
                <c:pt idx="34">
                  <c:v>6</c:v>
                </c:pt>
                <c:pt idx="35">
                  <c:v>2</c:v>
                </c:pt>
                <c:pt idx="36">
                  <c:v>8</c:v>
                </c:pt>
                <c:pt idx="37">
                  <c:v>4</c:v>
                </c:pt>
                <c:pt idx="38">
                  <c:v>0</c:v>
                </c:pt>
                <c:pt idx="39">
                  <c:v>4</c:v>
                </c:pt>
                <c:pt idx="40">
                  <c:v>6</c:v>
                </c:pt>
                <c:pt idx="41">
                  <c:v>1</c:v>
                </c:pt>
                <c:pt idx="42">
                  <c:v>6</c:v>
                </c:pt>
                <c:pt idx="43">
                  <c:v>2</c:v>
                </c:pt>
                <c:pt idx="44">
                  <c:v>10</c:v>
                </c:pt>
                <c:pt idx="45">
                  <c:v>4</c:v>
                </c:pt>
                <c:pt idx="46">
                  <c:v>2</c:v>
                </c:pt>
              </c:numCache>
            </c:numRef>
          </c:val>
          <c:extLst>
            <c:ext xmlns:c16="http://schemas.microsoft.com/office/drawing/2014/chart" uri="{C3380CC4-5D6E-409C-BE32-E72D297353CC}">
              <c16:uniqueId val="{00000000-8F8B-499A-81AB-AFAC712B0F65}"/>
            </c:ext>
          </c:extLst>
        </c:ser>
        <c:dLbls>
          <c:showLegendKey val="0"/>
          <c:showVal val="0"/>
          <c:showCatName val="0"/>
          <c:showSerName val="0"/>
          <c:showPercent val="0"/>
          <c:showBubbleSize val="0"/>
        </c:dLbls>
        <c:gapWidth val="150"/>
        <c:shape val="box"/>
        <c:axId val="766480303"/>
        <c:axId val="766481743"/>
        <c:axId val="0"/>
      </c:bar3DChart>
      <c:catAx>
        <c:axId val="7664803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6481743"/>
        <c:crosses val="autoZero"/>
        <c:auto val="1"/>
        <c:lblAlgn val="ctr"/>
        <c:lblOffset val="100"/>
        <c:noMultiLvlLbl val="0"/>
      </c:catAx>
      <c:valAx>
        <c:axId val="766481743"/>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6480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[Smart_Timetable_Workload_Macro.xlsm]Pivot Tables!PivotTable1</c:name>
    <c:fmtId val="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Tables'!$J$3</c:f>
              <c:strCache>
                <c:ptCount val="1"/>
                <c:pt idx="0">
                  <c:v>Total</c:v>
                </c:pt>
              </c:strCache>
            </c:strRef>
          </c:tx>
          <c:spPr>
            <a:solidFill>
              <a:schemeClr val="accent6">
                <a:lumMod val="7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Tables'!$I$4:$I$44</c:f>
              <c:strCache>
                <c:ptCount val="40"/>
                <c:pt idx="0">
                  <c:v>R101</c:v>
                </c:pt>
                <c:pt idx="1">
                  <c:v>R102</c:v>
                </c:pt>
                <c:pt idx="2">
                  <c:v>R103</c:v>
                </c:pt>
                <c:pt idx="3">
                  <c:v>R104</c:v>
                </c:pt>
                <c:pt idx="4">
                  <c:v>R105</c:v>
                </c:pt>
                <c:pt idx="5">
                  <c:v>R106</c:v>
                </c:pt>
                <c:pt idx="6">
                  <c:v>R107</c:v>
                </c:pt>
                <c:pt idx="7">
                  <c:v>R108</c:v>
                </c:pt>
                <c:pt idx="8">
                  <c:v>R109</c:v>
                </c:pt>
                <c:pt idx="9">
                  <c:v>R110</c:v>
                </c:pt>
                <c:pt idx="10">
                  <c:v>R111</c:v>
                </c:pt>
                <c:pt idx="11">
                  <c:v>R112</c:v>
                </c:pt>
                <c:pt idx="12">
                  <c:v>R113</c:v>
                </c:pt>
                <c:pt idx="13">
                  <c:v>R114</c:v>
                </c:pt>
                <c:pt idx="14">
                  <c:v>R115</c:v>
                </c:pt>
                <c:pt idx="15">
                  <c:v>R116</c:v>
                </c:pt>
                <c:pt idx="16">
                  <c:v>R117</c:v>
                </c:pt>
                <c:pt idx="17">
                  <c:v>R118</c:v>
                </c:pt>
                <c:pt idx="18">
                  <c:v>R119</c:v>
                </c:pt>
                <c:pt idx="19">
                  <c:v>R120</c:v>
                </c:pt>
                <c:pt idx="20">
                  <c:v>R121</c:v>
                </c:pt>
                <c:pt idx="21">
                  <c:v>R122</c:v>
                </c:pt>
                <c:pt idx="22">
                  <c:v>R123</c:v>
                </c:pt>
                <c:pt idx="23">
                  <c:v>R124</c:v>
                </c:pt>
                <c:pt idx="24">
                  <c:v>R125</c:v>
                </c:pt>
                <c:pt idx="25">
                  <c:v>R126</c:v>
                </c:pt>
                <c:pt idx="26">
                  <c:v>R127</c:v>
                </c:pt>
                <c:pt idx="27">
                  <c:v>R128</c:v>
                </c:pt>
                <c:pt idx="28">
                  <c:v>R129</c:v>
                </c:pt>
                <c:pt idx="29">
                  <c:v>R130</c:v>
                </c:pt>
                <c:pt idx="30">
                  <c:v>R131</c:v>
                </c:pt>
                <c:pt idx="31">
                  <c:v>R132</c:v>
                </c:pt>
                <c:pt idx="32">
                  <c:v>R133</c:v>
                </c:pt>
                <c:pt idx="33">
                  <c:v>R134</c:v>
                </c:pt>
                <c:pt idx="34">
                  <c:v>R135</c:v>
                </c:pt>
                <c:pt idx="35">
                  <c:v>R136</c:v>
                </c:pt>
                <c:pt idx="36">
                  <c:v>R137</c:v>
                </c:pt>
                <c:pt idx="37">
                  <c:v>R138</c:v>
                </c:pt>
                <c:pt idx="38">
                  <c:v>R139</c:v>
                </c:pt>
                <c:pt idx="39">
                  <c:v>R140</c:v>
                </c:pt>
              </c:strCache>
            </c:strRef>
          </c:cat>
          <c:val>
            <c:numRef>
              <c:f>'Pivot Tables'!$J$4:$J$44</c:f>
              <c:numCache>
                <c:formatCode>General</c:formatCode>
                <c:ptCount val="40"/>
                <c:pt idx="0">
                  <c:v>75</c:v>
                </c:pt>
                <c:pt idx="1">
                  <c:v>25</c:v>
                </c:pt>
                <c:pt idx="2">
                  <c:v>40</c:v>
                </c:pt>
                <c:pt idx="3">
                  <c:v>60</c:v>
                </c:pt>
                <c:pt idx="4">
                  <c:v>50</c:v>
                </c:pt>
                <c:pt idx="5">
                  <c:v>50</c:v>
                </c:pt>
                <c:pt idx="6">
                  <c:v>120</c:v>
                </c:pt>
                <c:pt idx="7">
                  <c:v>60</c:v>
                </c:pt>
                <c:pt idx="8">
                  <c:v>60</c:v>
                </c:pt>
                <c:pt idx="9">
                  <c:v>80</c:v>
                </c:pt>
                <c:pt idx="10">
                  <c:v>75</c:v>
                </c:pt>
                <c:pt idx="11">
                  <c:v>50</c:v>
                </c:pt>
                <c:pt idx="12">
                  <c:v>0</c:v>
                </c:pt>
                <c:pt idx="13">
                  <c:v>50</c:v>
                </c:pt>
                <c:pt idx="14">
                  <c:v>50</c:v>
                </c:pt>
                <c:pt idx="15">
                  <c:v>20</c:v>
                </c:pt>
                <c:pt idx="16">
                  <c:v>20</c:v>
                </c:pt>
                <c:pt idx="17">
                  <c:v>25</c:v>
                </c:pt>
                <c:pt idx="18">
                  <c:v>20</c:v>
                </c:pt>
                <c:pt idx="19">
                  <c:v>80</c:v>
                </c:pt>
                <c:pt idx="20">
                  <c:v>75</c:v>
                </c:pt>
                <c:pt idx="21">
                  <c:v>80</c:v>
                </c:pt>
                <c:pt idx="22">
                  <c:v>25</c:v>
                </c:pt>
                <c:pt idx="23">
                  <c:v>80</c:v>
                </c:pt>
                <c:pt idx="24">
                  <c:v>40</c:v>
                </c:pt>
                <c:pt idx="25">
                  <c:v>150</c:v>
                </c:pt>
                <c:pt idx="26">
                  <c:v>100</c:v>
                </c:pt>
                <c:pt idx="27">
                  <c:v>75</c:v>
                </c:pt>
                <c:pt idx="28">
                  <c:v>40</c:v>
                </c:pt>
                <c:pt idx="29">
                  <c:v>20</c:v>
                </c:pt>
                <c:pt idx="30">
                  <c:v>100</c:v>
                </c:pt>
                <c:pt idx="31">
                  <c:v>75</c:v>
                </c:pt>
                <c:pt idx="32">
                  <c:v>0</c:v>
                </c:pt>
                <c:pt idx="33">
                  <c:v>75</c:v>
                </c:pt>
                <c:pt idx="34">
                  <c:v>40</c:v>
                </c:pt>
                <c:pt idx="35">
                  <c:v>25</c:v>
                </c:pt>
                <c:pt idx="36">
                  <c:v>25</c:v>
                </c:pt>
                <c:pt idx="37">
                  <c:v>20</c:v>
                </c:pt>
                <c:pt idx="38">
                  <c:v>0</c:v>
                </c:pt>
                <c:pt idx="39">
                  <c:v>25</c:v>
                </c:pt>
              </c:numCache>
            </c:numRef>
          </c:val>
          <c:extLst>
            <c:ext xmlns:c16="http://schemas.microsoft.com/office/drawing/2014/chart" uri="{C3380CC4-5D6E-409C-BE32-E72D297353CC}">
              <c16:uniqueId val="{00000000-A387-4BF1-815A-B8809F48E06F}"/>
            </c:ext>
          </c:extLst>
        </c:ser>
        <c:dLbls>
          <c:showLegendKey val="0"/>
          <c:showVal val="0"/>
          <c:showCatName val="0"/>
          <c:showSerName val="0"/>
          <c:showPercent val="0"/>
          <c:showBubbleSize val="0"/>
        </c:dLbls>
        <c:gapWidth val="150"/>
        <c:shape val="box"/>
        <c:axId val="1407160208"/>
        <c:axId val="1407160688"/>
        <c:axId val="0"/>
      </c:bar3DChart>
      <c:catAx>
        <c:axId val="14071602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7160688"/>
        <c:crosses val="autoZero"/>
        <c:auto val="1"/>
        <c:lblAlgn val="ctr"/>
        <c:lblOffset val="100"/>
        <c:noMultiLvlLbl val="0"/>
      </c:catAx>
      <c:valAx>
        <c:axId val="1407160688"/>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7160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[Smart_Timetable_Workload_Macro.xlsm]Pivot Tables!PivotTable2</c:name>
    <c:fmtId val="2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Tables'!$B$3</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Tables'!$A$4:$A$38</c:f>
              <c:strCache>
                <c:ptCount val="34"/>
                <c:pt idx="0">
                  <c:v>AI</c:v>
                </c:pt>
                <c:pt idx="1">
                  <c:v>Algorithms</c:v>
                </c:pt>
                <c:pt idx="2">
                  <c:v>Analog Circuits</c:v>
                </c:pt>
                <c:pt idx="3">
                  <c:v>Blockchain</c:v>
                </c:pt>
                <c:pt idx="4">
                  <c:v>C++</c:v>
                </c:pt>
                <c:pt idx="5">
                  <c:v>CAD/CAM</c:v>
                </c:pt>
                <c:pt idx="6">
                  <c:v>Cloud Computing</c:v>
                </c:pt>
                <c:pt idx="7">
                  <c:v>Communication Skills</c:v>
                </c:pt>
                <c:pt idx="8">
                  <c:v>Compiler Design</c:v>
                </c:pt>
                <c:pt idx="9">
                  <c:v>Computer Networks</c:v>
                </c:pt>
                <c:pt idx="10">
                  <c:v>Control Systems</c:v>
                </c:pt>
                <c:pt idx="11">
                  <c:v>Cybersecurity</c:v>
                </c:pt>
                <c:pt idx="12">
                  <c:v>Data Mining</c:v>
                </c:pt>
                <c:pt idx="13">
                  <c:v>DBMS</c:v>
                </c:pt>
                <c:pt idx="14">
                  <c:v>Digital Electronics</c:v>
                </c:pt>
                <c:pt idx="15">
                  <c:v>Digital Signal Processing</c:v>
                </c:pt>
                <c:pt idx="16">
                  <c:v>Distributed Systems</c:v>
                </c:pt>
                <c:pt idx="17">
                  <c:v>Embedded Systems</c:v>
                </c:pt>
                <c:pt idx="18">
                  <c:v>Engineering Mathematics</c:v>
                </c:pt>
                <c:pt idx="19">
                  <c:v>Fluid Mechanics</c:v>
                </c:pt>
                <c:pt idx="20">
                  <c:v>Java Programming</c:v>
                </c:pt>
                <c:pt idx="21">
                  <c:v>Linear Algebra</c:v>
                </c:pt>
                <c:pt idx="22">
                  <c:v>Machine Design</c:v>
                </c:pt>
                <c:pt idx="23">
                  <c:v>Machine Learning</c:v>
                </c:pt>
                <c:pt idx="24">
                  <c:v>Manufacturing</c:v>
                </c:pt>
                <c:pt idx="25">
                  <c:v>Microprocessors</c:v>
                </c:pt>
                <c:pt idx="26">
                  <c:v>Power Systems</c:v>
                </c:pt>
                <c:pt idx="27">
                  <c:v>Signals &amp; Systems</c:v>
                </c:pt>
                <c:pt idx="28">
                  <c:v>Software Engineering</c:v>
                </c:pt>
                <c:pt idx="29">
                  <c:v>Statistics</c:v>
                </c:pt>
                <c:pt idx="30">
                  <c:v>Technical Writing</c:v>
                </c:pt>
                <c:pt idx="31">
                  <c:v>Thermodynamics</c:v>
                </c:pt>
                <c:pt idx="32">
                  <c:v>VLSI Design</c:v>
                </c:pt>
                <c:pt idx="33">
                  <c:v>Web Technology</c:v>
                </c:pt>
              </c:strCache>
            </c:strRef>
          </c:cat>
          <c:val>
            <c:numRef>
              <c:f>'Pivot Tables'!$B$4:$B$38</c:f>
              <c:numCache>
                <c:formatCode>General</c:formatCode>
                <c:ptCount val="34"/>
                <c:pt idx="0">
                  <c:v>2</c:v>
                </c:pt>
                <c:pt idx="1">
                  <c:v>3</c:v>
                </c:pt>
                <c:pt idx="2">
                  <c:v>1</c:v>
                </c:pt>
                <c:pt idx="3">
                  <c:v>1</c:v>
                </c:pt>
                <c:pt idx="4">
                  <c:v>3</c:v>
                </c:pt>
                <c:pt idx="5">
                  <c:v>3</c:v>
                </c:pt>
                <c:pt idx="6">
                  <c:v>5</c:v>
                </c:pt>
                <c:pt idx="7">
                  <c:v>1</c:v>
                </c:pt>
                <c:pt idx="8">
                  <c:v>1</c:v>
                </c:pt>
                <c:pt idx="9">
                  <c:v>2</c:v>
                </c:pt>
                <c:pt idx="10">
                  <c:v>2</c:v>
                </c:pt>
                <c:pt idx="11">
                  <c:v>6</c:v>
                </c:pt>
                <c:pt idx="12">
                  <c:v>3</c:v>
                </c:pt>
                <c:pt idx="13">
                  <c:v>3</c:v>
                </c:pt>
                <c:pt idx="14">
                  <c:v>2</c:v>
                </c:pt>
                <c:pt idx="15">
                  <c:v>6</c:v>
                </c:pt>
                <c:pt idx="16">
                  <c:v>2</c:v>
                </c:pt>
                <c:pt idx="17">
                  <c:v>1</c:v>
                </c:pt>
                <c:pt idx="18">
                  <c:v>3</c:v>
                </c:pt>
                <c:pt idx="19">
                  <c:v>7</c:v>
                </c:pt>
                <c:pt idx="20">
                  <c:v>5</c:v>
                </c:pt>
                <c:pt idx="21">
                  <c:v>2</c:v>
                </c:pt>
                <c:pt idx="22">
                  <c:v>1</c:v>
                </c:pt>
                <c:pt idx="23">
                  <c:v>4</c:v>
                </c:pt>
                <c:pt idx="24">
                  <c:v>1</c:v>
                </c:pt>
                <c:pt idx="25">
                  <c:v>1</c:v>
                </c:pt>
                <c:pt idx="26">
                  <c:v>2</c:v>
                </c:pt>
                <c:pt idx="27">
                  <c:v>4</c:v>
                </c:pt>
                <c:pt idx="28">
                  <c:v>3</c:v>
                </c:pt>
                <c:pt idx="29">
                  <c:v>3</c:v>
                </c:pt>
                <c:pt idx="30">
                  <c:v>2</c:v>
                </c:pt>
                <c:pt idx="31">
                  <c:v>2</c:v>
                </c:pt>
                <c:pt idx="32">
                  <c:v>3</c:v>
                </c:pt>
                <c:pt idx="33">
                  <c:v>3</c:v>
                </c:pt>
              </c:numCache>
            </c:numRef>
          </c:val>
          <c:extLst>
            <c:ext xmlns:c16="http://schemas.microsoft.com/office/drawing/2014/chart" uri="{C3380CC4-5D6E-409C-BE32-E72D297353CC}">
              <c16:uniqueId val="{00000000-2542-43E7-8EFE-E8AF6A0746C7}"/>
            </c:ext>
          </c:extLst>
        </c:ser>
        <c:dLbls>
          <c:showLegendKey val="0"/>
          <c:showVal val="0"/>
          <c:showCatName val="0"/>
          <c:showSerName val="0"/>
          <c:showPercent val="0"/>
          <c:showBubbleSize val="0"/>
        </c:dLbls>
        <c:gapWidth val="150"/>
        <c:shape val="box"/>
        <c:axId val="454833472"/>
        <c:axId val="454833952"/>
        <c:axId val="0"/>
      </c:bar3DChart>
      <c:catAx>
        <c:axId val="4548334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833952"/>
        <c:crosses val="autoZero"/>
        <c:auto val="1"/>
        <c:lblAlgn val="ctr"/>
        <c:lblOffset val="100"/>
        <c:noMultiLvlLbl val="0"/>
      </c:catAx>
      <c:valAx>
        <c:axId val="45483395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833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BB3-410D-9C14-A9F53659AB8A}"/>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BB3-410D-9C14-A9F53659AB8A}"/>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BB3-410D-9C14-A9F53659AB8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Tables'!$M$3:$M$5</c:f>
              <c:strCache>
                <c:ptCount val="3"/>
                <c:pt idx="0">
                  <c:v>Properly Utilised</c:v>
                </c:pt>
                <c:pt idx="1">
                  <c:v>Underutilised</c:v>
                </c:pt>
                <c:pt idx="2">
                  <c:v>Overutilised</c:v>
                </c:pt>
              </c:strCache>
            </c:strRef>
          </c:cat>
          <c:val>
            <c:numRef>
              <c:f>'Pivot Tables'!$N$3:$N$5</c:f>
              <c:numCache>
                <c:formatCode>General</c:formatCode>
                <c:ptCount val="3"/>
                <c:pt idx="0">
                  <c:v>50</c:v>
                </c:pt>
                <c:pt idx="1">
                  <c:v>45</c:v>
                </c:pt>
                <c:pt idx="2">
                  <c:v>5</c:v>
                </c:pt>
              </c:numCache>
            </c:numRef>
          </c:val>
          <c:extLst>
            <c:ext xmlns:c16="http://schemas.microsoft.com/office/drawing/2014/chart" uri="{C3380CC4-5D6E-409C-BE32-E72D297353CC}">
              <c16:uniqueId val="{00000006-7BB3-410D-9C14-A9F53659AB8A}"/>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jpe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556260</xdr:colOff>
          <xdr:row>12</xdr:row>
          <xdr:rowOff>38100</xdr:rowOff>
        </xdr:from>
        <xdr:to>
          <xdr:col>15</xdr:col>
          <xdr:colOff>99060</xdr:colOff>
          <xdr:row>14</xdr:row>
          <xdr:rowOff>114300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0" tIns="46800" rIns="90000" bIns="46800" anchor="ctr" upright="1"/>
            <a:lstStyle/>
            <a:p>
              <a:pPr algn="ctr" rtl="0">
                <a:defRPr sz="1000"/>
              </a:pPr>
              <a:r>
                <a:rPr lang="en-IN" sz="1100" b="0" i="0" u="none" strike="noStrike" baseline="0">
                  <a:solidFill>
                    <a:srgbClr val="000000"/>
                  </a:solidFill>
                  <a:latin typeface="Calibri"/>
                  <a:ea typeface="Calibri"/>
                  <a:cs typeface="Calibri"/>
                </a:rPr>
                <a:t>Insert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15</xdr:row>
          <xdr:rowOff>60960</xdr:rowOff>
        </xdr:from>
        <xdr:to>
          <xdr:col>14</xdr:col>
          <xdr:colOff>586740</xdr:colOff>
          <xdr:row>17</xdr:row>
          <xdr:rowOff>167640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Refresh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15</xdr:row>
      <xdr:rowOff>171237</xdr:rowOff>
    </xdr:from>
    <xdr:to>
      <xdr:col>6</xdr:col>
      <xdr:colOff>350007</xdr:colOff>
      <xdr:row>28</xdr:row>
      <xdr:rowOff>3854</xdr:rowOff>
    </xdr:to>
    <xdr:graphicFrame macro="">
      <xdr:nvGraphicFramePr>
        <xdr:cNvPr id="3" name="Chart 2">
          <a:extLst>
            <a:ext uri="{FF2B5EF4-FFF2-40B4-BE49-F238E27FC236}">
              <a16:creationId xmlns:a16="http://schemas.microsoft.com/office/drawing/2014/main" id="{310717EC-664B-427F-935D-B33F2B3F3C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241914</xdr:colOff>
      <xdr:row>15</xdr:row>
      <xdr:rowOff>145707</xdr:rowOff>
    </xdr:from>
    <xdr:to>
      <xdr:col>16</xdr:col>
      <xdr:colOff>565077</xdr:colOff>
      <xdr:row>27</xdr:row>
      <xdr:rowOff>179797</xdr:rowOff>
    </xdr:to>
    <xdr:graphicFrame macro="">
      <xdr:nvGraphicFramePr>
        <xdr:cNvPr id="4" name="Chart 3">
          <a:extLst>
            <a:ext uri="{FF2B5EF4-FFF2-40B4-BE49-F238E27FC236}">
              <a16:creationId xmlns:a16="http://schemas.microsoft.com/office/drawing/2014/main" id="{BE456092-F4DE-45CF-A10E-3B716132D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453775</xdr:colOff>
      <xdr:row>4</xdr:row>
      <xdr:rowOff>154114</xdr:rowOff>
    </xdr:from>
    <xdr:to>
      <xdr:col>5</xdr:col>
      <xdr:colOff>41498</xdr:colOff>
      <xdr:row>14</xdr:row>
      <xdr:rowOff>5418</xdr:rowOff>
    </xdr:to>
    <mc:AlternateContent xmlns:mc="http://schemas.openxmlformats.org/markup-compatibility/2006" xmlns:a14="http://schemas.microsoft.com/office/drawing/2010/main">
      <mc:Choice Requires="a14">
        <xdr:graphicFrame macro="">
          <xdr:nvGraphicFramePr>
            <xdr:cNvPr id="5" name="Department 2">
              <a:extLst>
                <a:ext uri="{FF2B5EF4-FFF2-40B4-BE49-F238E27FC236}">
                  <a16:creationId xmlns:a16="http://schemas.microsoft.com/office/drawing/2014/main" id="{0D101356-E0CE-4E17-BBDF-B4312B4827EB}"/>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3416157" y="873305"/>
              <a:ext cx="1128847" cy="16492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304555</xdr:colOff>
      <xdr:row>4</xdr:row>
      <xdr:rowOff>136989</xdr:rowOff>
    </xdr:from>
    <xdr:to>
      <xdr:col>7</xdr:col>
      <xdr:colOff>102393</xdr:colOff>
      <xdr:row>14</xdr:row>
      <xdr:rowOff>11620</xdr:rowOff>
    </xdr:to>
    <mc:AlternateContent xmlns:mc="http://schemas.openxmlformats.org/markup-compatibility/2006" xmlns:a14="http://schemas.microsoft.com/office/drawing/2010/main">
      <mc:Choice Requires="a14">
        <xdr:graphicFrame macro="">
          <xdr:nvGraphicFramePr>
            <xdr:cNvPr id="6" name="Day 2">
              <a:extLst>
                <a:ext uri="{FF2B5EF4-FFF2-40B4-BE49-F238E27FC236}">
                  <a16:creationId xmlns:a16="http://schemas.microsoft.com/office/drawing/2014/main" id="{11AB82DC-FEB2-4DAB-BBB0-02EF4F29FB9A}"/>
                </a:ext>
              </a:extLst>
            </xdr:cNvPr>
            <xdr:cNvGraphicFramePr/>
          </xdr:nvGraphicFramePr>
          <xdr:xfrm>
            <a:off x="0" y="0"/>
            <a:ext cx="0" cy="0"/>
          </xdr:xfrm>
          <a:graphic>
            <a:graphicData uri="http://schemas.microsoft.com/office/drawing/2010/slicer">
              <sle:slicer xmlns:sle="http://schemas.microsoft.com/office/drawing/2010/slicer" name="Day 2"/>
            </a:graphicData>
          </a:graphic>
        </xdr:graphicFrame>
      </mc:Choice>
      <mc:Fallback xmlns="">
        <xdr:sp macro="" textlink="">
          <xdr:nvSpPr>
            <xdr:cNvPr id="0" name=""/>
            <xdr:cNvSpPr>
              <a:spLocks noTextEdit="1"/>
            </xdr:cNvSpPr>
          </xdr:nvSpPr>
          <xdr:spPr>
            <a:xfrm>
              <a:off x="4808061" y="856180"/>
              <a:ext cx="1013613" cy="16726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445563</xdr:colOff>
      <xdr:row>15</xdr:row>
      <xdr:rowOff>174993</xdr:rowOff>
    </xdr:from>
    <xdr:to>
      <xdr:col>9</xdr:col>
      <xdr:colOff>126767</xdr:colOff>
      <xdr:row>22</xdr:row>
      <xdr:rowOff>8561</xdr:rowOff>
    </xdr:to>
    <mc:AlternateContent xmlns:mc="http://schemas.openxmlformats.org/markup-compatibility/2006" xmlns:a14="http://schemas.microsoft.com/office/drawing/2010/main">
      <mc:Choice Requires="a14">
        <xdr:graphicFrame macro="">
          <xdr:nvGraphicFramePr>
            <xdr:cNvPr id="7" name="Designation 2">
              <a:extLst>
                <a:ext uri="{FF2B5EF4-FFF2-40B4-BE49-F238E27FC236}">
                  <a16:creationId xmlns:a16="http://schemas.microsoft.com/office/drawing/2014/main" id="{C983F92A-5083-4F46-9482-AE647AE5EE32}"/>
                </a:ext>
              </a:extLst>
            </xdr:cNvPr>
            <xdr:cNvGraphicFramePr/>
          </xdr:nvGraphicFramePr>
          <xdr:xfrm>
            <a:off x="0" y="0"/>
            <a:ext cx="0" cy="0"/>
          </xdr:xfrm>
          <a:graphic>
            <a:graphicData uri="http://schemas.microsoft.com/office/drawing/2010/slicer">
              <sle:slicer xmlns:sle="http://schemas.microsoft.com/office/drawing/2010/slicer" name="Designation 2"/>
            </a:graphicData>
          </a:graphic>
        </xdr:graphicFrame>
      </mc:Choice>
      <mc:Fallback xmlns="">
        <xdr:sp macro="" textlink="">
          <xdr:nvSpPr>
            <xdr:cNvPr id="0" name=""/>
            <xdr:cNvSpPr>
              <a:spLocks noTextEdit="1"/>
            </xdr:cNvSpPr>
          </xdr:nvSpPr>
          <xdr:spPr>
            <a:xfrm>
              <a:off x="5556956" y="2871959"/>
              <a:ext cx="1504867" cy="10921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437788</xdr:colOff>
      <xdr:row>22</xdr:row>
      <xdr:rowOff>33287</xdr:rowOff>
    </xdr:from>
    <xdr:to>
      <xdr:col>8</xdr:col>
      <xdr:colOff>546644</xdr:colOff>
      <xdr:row>28</xdr:row>
      <xdr:rowOff>34247</xdr:rowOff>
    </xdr:to>
    <mc:AlternateContent xmlns:mc="http://schemas.openxmlformats.org/markup-compatibility/2006" xmlns:a14="http://schemas.microsoft.com/office/drawing/2010/main">
      <mc:Choice Requires="a14">
        <xdr:graphicFrame macro="">
          <xdr:nvGraphicFramePr>
            <xdr:cNvPr id="8" name="Workload Status 2">
              <a:extLst>
                <a:ext uri="{FF2B5EF4-FFF2-40B4-BE49-F238E27FC236}">
                  <a16:creationId xmlns:a16="http://schemas.microsoft.com/office/drawing/2014/main" id="{C0D3E142-A120-4047-891E-C0059309BB8A}"/>
                </a:ext>
              </a:extLst>
            </xdr:cNvPr>
            <xdr:cNvGraphicFramePr/>
          </xdr:nvGraphicFramePr>
          <xdr:xfrm>
            <a:off x="0" y="0"/>
            <a:ext cx="0" cy="0"/>
          </xdr:xfrm>
          <a:graphic>
            <a:graphicData uri="http://schemas.microsoft.com/office/drawing/2010/slicer">
              <sle:slicer xmlns:sle="http://schemas.microsoft.com/office/drawing/2010/slicer" name="Workload Status 2"/>
            </a:graphicData>
          </a:graphic>
        </xdr:graphicFrame>
      </mc:Choice>
      <mc:Fallback xmlns="">
        <xdr:sp macro="" textlink="">
          <xdr:nvSpPr>
            <xdr:cNvPr id="0" name=""/>
            <xdr:cNvSpPr>
              <a:spLocks noTextEdit="1"/>
            </xdr:cNvSpPr>
          </xdr:nvSpPr>
          <xdr:spPr>
            <a:xfrm>
              <a:off x="5549181" y="3988838"/>
              <a:ext cx="1324632" cy="10797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127725</xdr:colOff>
      <xdr:row>16</xdr:row>
      <xdr:rowOff>1022</xdr:rowOff>
    </xdr:from>
    <xdr:to>
      <xdr:col>23</xdr:col>
      <xdr:colOff>132589</xdr:colOff>
      <xdr:row>24</xdr:row>
      <xdr:rowOff>25686</xdr:rowOff>
    </xdr:to>
    <mc:AlternateContent xmlns:mc="http://schemas.openxmlformats.org/markup-compatibility/2006" xmlns:a14="http://schemas.microsoft.com/office/drawing/2010/main">
      <mc:Choice Requires="a14">
        <xdr:graphicFrame macro="">
          <xdr:nvGraphicFramePr>
            <xdr:cNvPr id="9" name="Room Type">
              <a:extLst>
                <a:ext uri="{FF2B5EF4-FFF2-40B4-BE49-F238E27FC236}">
                  <a16:creationId xmlns:a16="http://schemas.microsoft.com/office/drawing/2014/main" id="{0D9D855E-3464-374E-0F6C-0A2D7C7659BE}"/>
                </a:ext>
              </a:extLst>
            </xdr:cNvPr>
            <xdr:cNvGraphicFramePr/>
          </xdr:nvGraphicFramePr>
          <xdr:xfrm>
            <a:off x="0" y="0"/>
            <a:ext cx="0" cy="0"/>
          </xdr:xfrm>
          <a:graphic>
            <a:graphicData uri="http://schemas.microsoft.com/office/drawing/2010/slicer">
              <sle:slicer xmlns:sle="http://schemas.microsoft.com/office/drawing/2010/slicer" name="Room Type"/>
            </a:graphicData>
          </a:graphic>
        </xdr:graphicFrame>
      </mc:Choice>
      <mc:Fallback xmlns="">
        <xdr:sp macro="" textlink="">
          <xdr:nvSpPr>
            <xdr:cNvPr id="0" name=""/>
            <xdr:cNvSpPr>
              <a:spLocks noTextEdit="1"/>
            </xdr:cNvSpPr>
          </xdr:nvSpPr>
          <xdr:spPr>
            <a:xfrm>
              <a:off x="13749545" y="2877786"/>
              <a:ext cx="1828527" cy="14630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603048</xdr:colOff>
      <xdr:row>15</xdr:row>
      <xdr:rowOff>148811</xdr:rowOff>
    </xdr:from>
    <xdr:to>
      <xdr:col>20</xdr:col>
      <xdr:colOff>25</xdr:colOff>
      <xdr:row>22</xdr:row>
      <xdr:rowOff>102741</xdr:rowOff>
    </xdr:to>
    <mc:AlternateContent xmlns:mc="http://schemas.openxmlformats.org/markup-compatibility/2006" xmlns:a14="http://schemas.microsoft.com/office/drawing/2010/main">
      <mc:Choice Requires="a14">
        <xdr:graphicFrame macro="">
          <xdr:nvGraphicFramePr>
            <xdr:cNvPr id="10" name="Utilisation Status">
              <a:extLst>
                <a:ext uri="{FF2B5EF4-FFF2-40B4-BE49-F238E27FC236}">
                  <a16:creationId xmlns:a16="http://schemas.microsoft.com/office/drawing/2014/main" id="{8FD456AF-F5E5-8A95-0D59-094C65ECB17C}"/>
                </a:ext>
              </a:extLst>
            </xdr:cNvPr>
            <xdr:cNvGraphicFramePr/>
          </xdr:nvGraphicFramePr>
          <xdr:xfrm>
            <a:off x="0" y="0"/>
            <a:ext cx="0" cy="0"/>
          </xdr:xfrm>
          <a:graphic>
            <a:graphicData uri="http://schemas.microsoft.com/office/drawing/2010/slicer">
              <sle:slicer xmlns:sle="http://schemas.microsoft.com/office/drawing/2010/slicer" name="Utilisation Status"/>
            </a:graphicData>
          </a:graphic>
        </xdr:graphicFrame>
      </mc:Choice>
      <mc:Fallback xmlns="">
        <xdr:sp macro="" textlink="">
          <xdr:nvSpPr>
            <xdr:cNvPr id="0" name=""/>
            <xdr:cNvSpPr>
              <a:spLocks noTextEdit="1"/>
            </xdr:cNvSpPr>
          </xdr:nvSpPr>
          <xdr:spPr>
            <a:xfrm>
              <a:off x="11793318" y="2845777"/>
              <a:ext cx="1828527" cy="12125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265416</xdr:colOff>
      <xdr:row>3</xdr:row>
      <xdr:rowOff>162673</xdr:rowOff>
    </xdr:from>
    <xdr:to>
      <xdr:col>14</xdr:col>
      <xdr:colOff>547956</xdr:colOff>
      <xdr:row>15</xdr:row>
      <xdr:rowOff>51370</xdr:rowOff>
    </xdr:to>
    <xdr:graphicFrame macro="">
      <xdr:nvGraphicFramePr>
        <xdr:cNvPr id="11" name="Chart 10">
          <a:extLst>
            <a:ext uri="{FF2B5EF4-FFF2-40B4-BE49-F238E27FC236}">
              <a16:creationId xmlns:a16="http://schemas.microsoft.com/office/drawing/2014/main" id="{C038C21C-F205-4441-ABD4-C97F78B86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42809</xdr:colOff>
      <xdr:row>3</xdr:row>
      <xdr:rowOff>128427</xdr:rowOff>
    </xdr:from>
    <xdr:to>
      <xdr:col>21</xdr:col>
      <xdr:colOff>239730</xdr:colOff>
      <xdr:row>15</xdr:row>
      <xdr:rowOff>51371</xdr:rowOff>
    </xdr:to>
    <xdr:graphicFrame macro="">
      <xdr:nvGraphicFramePr>
        <xdr:cNvPr id="13" name="Chart 12">
          <a:extLst>
            <a:ext uri="{FF2B5EF4-FFF2-40B4-BE49-F238E27FC236}">
              <a16:creationId xmlns:a16="http://schemas.microsoft.com/office/drawing/2014/main" id="{D2BA003B-53A3-4101-8CB0-5265E913B4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453776</xdr:colOff>
      <xdr:row>0</xdr:row>
      <xdr:rowOff>17124</xdr:rowOff>
    </xdr:from>
    <xdr:to>
      <xdr:col>23</xdr:col>
      <xdr:colOff>590765</xdr:colOff>
      <xdr:row>2</xdr:row>
      <xdr:rowOff>163173</xdr:rowOff>
    </xdr:to>
    <xdr:pic>
      <xdr:nvPicPr>
        <xdr:cNvPr id="15" name="Picture 14">
          <a:extLst>
            <a:ext uri="{FF2B5EF4-FFF2-40B4-BE49-F238E27FC236}">
              <a16:creationId xmlns:a16="http://schemas.microsoft.com/office/drawing/2014/main" id="{3FB92E71-2524-441B-6058-FE6E50B5F29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683484" y="17124"/>
          <a:ext cx="1352764" cy="50564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R SEKHAR GHOSH" refreshedDate="46171.323848263892" createdVersion="8" refreshedVersion="8" minRefreshableVersion="3" recordCount="93" xr:uid="{7AD52290-94E2-456E-A55F-0CAFA12DD629}">
  <cacheSource type="worksheet">
    <worksheetSource name="Table6"/>
  </cacheSource>
  <cacheFields count="15">
    <cacheField name="Slot ID" numFmtId="0">
      <sharedItems/>
    </cacheField>
    <cacheField name="Day" numFmtId="0">
      <sharedItems containsBlank="1" count="10">
        <s v="Tuesday"/>
        <s v="Friday"/>
        <s v="Wednesday"/>
        <s v="Monday"/>
        <s v="Saturday"/>
        <s v="Thursday"/>
        <s v="Thursday "/>
        <s v="Friday "/>
        <m u="1"/>
        <s v="Tuesday " u="1"/>
      </sharedItems>
    </cacheField>
    <cacheField name="Time Slot" numFmtId="0">
      <sharedItems/>
    </cacheField>
    <cacheField name="Department" numFmtId="0">
      <sharedItems containsBlank="1" count="9">
        <s v="ECE"/>
        <s v="CE"/>
        <s v="ME"/>
        <s v="EEE"/>
        <s v="CSE"/>
        <s v="IT"/>
        <s v="MCA"/>
        <s v="MBA"/>
        <m u="1"/>
      </sharedItems>
    </cacheField>
    <cacheField name="Subject Code" numFmtId="0">
      <sharedItems/>
    </cacheField>
    <cacheField name="Subject Name" numFmtId="0">
      <sharedItems containsBlank="1" count="35">
        <s v="Algorithms"/>
        <s v="Distributed Systems"/>
        <s v="C++"/>
        <s v="DBMS"/>
        <s v="Machine Learning"/>
        <s v="Digital Signal Processing"/>
        <s v="Linear Algebra"/>
        <s v="Cloud Computing"/>
        <s v="Engineering Mathematics"/>
        <s v="Embedded Systems"/>
        <s v="AI"/>
        <s v="Data Mining"/>
        <s v="Manufacturing"/>
        <s v="Signals &amp; Systems"/>
        <s v="Fluid Mechanics"/>
        <s v="Cybersecurity"/>
        <s v="Digital Electronics"/>
        <s v="Power Systems"/>
        <s v="Thermodynamics"/>
        <s v="CAD/CAM"/>
        <s v="Blockchain"/>
        <s v="Java Programming"/>
        <s v="VLSI Design"/>
        <s v="Statistics"/>
        <s v="Technical Writing"/>
        <s v="Compiler Design"/>
        <s v="Analog Circuits"/>
        <s v="Software Engineering"/>
        <s v="Computer Networks"/>
        <s v="Control Systems"/>
        <s v="Machine Design"/>
        <s v="Web Technology"/>
        <s v="Communication Skills"/>
        <s v="Microprocessors"/>
        <m u="1"/>
      </sharedItems>
    </cacheField>
    <cacheField name="Faculty ID" numFmtId="0">
      <sharedItems/>
    </cacheField>
    <cacheField name="Room ID" numFmtId="0">
      <sharedItems/>
    </cacheField>
    <cacheField name="Room Type" numFmtId="0">
      <sharedItems/>
    </cacheField>
    <cacheField name="Batch" numFmtId="0">
      <sharedItems containsSemiMixedTypes="0" containsString="0" containsNumber="1" containsInteger="1" minValue="2021" maxValue="2024"/>
    </cacheField>
    <cacheField name="Semester" numFmtId="0">
      <sharedItems containsSemiMixedTypes="0" containsString="0" containsNumber="1" containsInteger="1" minValue="1" maxValue="8"/>
    </cacheField>
    <cacheField name="Section" numFmtId="0">
      <sharedItems/>
    </cacheField>
    <cacheField name="Duration (hrs)" numFmtId="0">
      <sharedItems containsSemiMixedTypes="0" containsString="0" containsNumber="1" containsInteger="1" minValue="1" maxValue="2"/>
    </cacheField>
    <cacheField name="Is Lab" numFmtId="0">
      <sharedItems/>
    </cacheField>
    <cacheField name="Conflict Flag" numFmtId="0">
      <sharedItems/>
    </cacheField>
  </cacheFields>
  <extLst>
    <ext xmlns:x14="http://schemas.microsoft.com/office/spreadsheetml/2009/9/main" uri="{725AE2AE-9491-48be-B2B4-4EB974FC3084}">
      <x14:pivotCacheDefinition pivotCacheId="59958684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R SEKHAR GHOSH" refreshedDate="46171.323848842592" createdVersion="8" refreshedVersion="8" minRefreshableVersion="3" recordCount="47" xr:uid="{F833AECE-CE01-4DE8-A1D2-4F507DCBBF1C}">
  <cacheSource type="worksheet">
    <worksheetSource name="Table1"/>
  </cacheSource>
  <cacheFields count="14">
    <cacheField name="Faculty ID" numFmtId="0">
      <sharedItems/>
    </cacheField>
    <cacheField name="Faculty Name" numFmtId="0">
      <sharedItems count="47">
        <s v="Sunita Sharma"/>
        <s v="Nisha Sharma"/>
        <s v="Ravi Singh"/>
        <s v="Uma Patel"/>
        <s v="Meena Verma"/>
        <s v="Rekha Agarwal"/>
        <s v="Mohan Verma"/>
        <s v="Arun Pandey"/>
        <s v="Ravi Chaudhary"/>
        <s v="Sanjay Mishra"/>
        <s v="Ravi Verma"/>
        <s v="Vikram Tiwari"/>
        <s v="Vikram Singh"/>
        <s v="Anita Singh"/>
        <s v="Meena Yadav"/>
        <s v="Mohan Yadav"/>
        <s v="Kavya Verma"/>
        <s v="Sanjay Yadav"/>
        <s v="Kavya Agarwal"/>
        <s v="Lata Chaudhary"/>
        <s v="Swati Yadav"/>
        <s v="Anita Tiwari"/>
        <s v="Pooja Dubey"/>
        <s v="Dinesh Singh"/>
        <s v="Suresh Agarwal"/>
        <s v="Dinesh Patel"/>
        <s v="Mohan Kumar"/>
        <s v="Kavya Joshi"/>
        <s v="Rajesh Tiwari"/>
        <s v="Meena Dubey"/>
        <s v="Prakash Singh"/>
        <s v="Deepak Dubey"/>
        <s v="Rajesh Dubey"/>
        <s v="Suresh Dubey"/>
        <s v="Kavya Mishra"/>
        <s v="Vikram Agarwal"/>
        <s v="Pooja Yadav"/>
        <s v="Prakash Pandey"/>
        <s v="Dinesh Gupta"/>
        <s v="Uma Srivastava"/>
        <s v="Arun Gupta"/>
        <s v="Suresh Pandey"/>
        <s v="Nisha Singh"/>
        <s v="Rajesh Mishra"/>
        <s v="Ravi Agarwal"/>
        <s v="Geeta Srivastava"/>
        <s v="Uma Sharma"/>
      </sharedItems>
    </cacheField>
    <cacheField name="Department" numFmtId="0">
      <sharedItems/>
    </cacheField>
    <cacheField name="Designation" numFmtId="0">
      <sharedItems count="5">
        <s v="Senior Lecturer"/>
        <s v="Assistant Professor"/>
        <s v="Professor"/>
        <s v="Lecturer"/>
        <s v="Associate Professor"/>
      </sharedItems>
    </cacheField>
    <cacheField name="Qualification" numFmtId="0">
      <sharedItems/>
    </cacheField>
    <cacheField name="Experience (yrs)" numFmtId="0">
      <sharedItems containsMixedTypes="1" containsNumber="1" containsInteger="1" minValue="1" maxValue="29"/>
    </cacheField>
    <cacheField name="Semester" numFmtId="0">
      <sharedItems/>
    </cacheField>
    <cacheField name="Academic Year" numFmtId="0">
      <sharedItems containsSemiMixedTypes="0" containsString="0" containsNumber="1" containsInteger="1" minValue="2023" maxValue="2025"/>
    </cacheField>
    <cacheField name="Max Allowed Hours" numFmtId="0">
      <sharedItems containsSemiMixedTypes="0" containsString="0" containsNumber="1" containsInteger="1" minValue="8" maxValue="10"/>
    </cacheField>
    <cacheField name="Subjects Assigned" numFmtId="0">
      <sharedItems containsSemiMixedTypes="0" containsString="0" containsNumber="1" containsInteger="1" minValue="0" maxValue="4"/>
    </cacheField>
    <cacheField name="Theory hrs/wk" numFmtId="0">
      <sharedItems containsSemiMixedTypes="0" containsString="0" containsNumber="1" containsInteger="1" minValue="0" maxValue="8"/>
    </cacheField>
    <cacheField name=" Lab hrs/wk" numFmtId="0">
      <sharedItems containsSemiMixedTypes="0" containsString="0" containsNumber="1" containsInteger="1" minValue="0" maxValue="8"/>
    </cacheField>
    <cacheField name="Total Contact Hours" numFmtId="0">
      <sharedItems containsSemiMixedTypes="0" containsString="0" containsNumber="1" containsInteger="1" minValue="0" maxValue="16"/>
    </cacheField>
    <cacheField name="Workload Status" numFmtId="0">
      <sharedItems count="3">
        <s v="Normal"/>
        <s v="Underloaded"/>
        <s v="Overloaded"/>
      </sharedItems>
    </cacheField>
  </cacheFields>
  <extLst>
    <ext xmlns:x14="http://schemas.microsoft.com/office/spreadsheetml/2009/9/main" uri="{725AE2AE-9491-48be-B2B4-4EB974FC3084}">
      <x14:pivotCacheDefinition pivotCacheId="134907406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R SEKHAR GHOSH" refreshedDate="46171.323849189816" createdVersion="8" refreshedVersion="8" minRefreshableVersion="3" recordCount="40" xr:uid="{4BCD7C8A-07DB-426F-AE4B-A51CF6D303DE}">
  <cacheSource type="worksheet">
    <worksheetSource name="Table4"/>
  </cacheSource>
  <cacheFields count="6">
    <cacheField name="Room ID" numFmtId="0">
      <sharedItems count="40">
        <s v="R101"/>
        <s v="R102"/>
        <s v="R103"/>
        <s v="R104"/>
        <s v="R105"/>
        <s v="R106"/>
        <s v="R107"/>
        <s v="R108"/>
        <s v="R109"/>
        <s v="R110"/>
        <s v="R111"/>
        <s v="R112"/>
        <s v="R113"/>
        <s v="R114"/>
        <s v="R115"/>
        <s v="R116"/>
        <s v="R117"/>
        <s v="R118"/>
        <s v="R119"/>
        <s v="R120"/>
        <s v="R121"/>
        <s v="R122"/>
        <s v="R123"/>
        <s v="R124"/>
        <s v="R125"/>
        <s v="R126"/>
        <s v="R127"/>
        <s v="R128"/>
        <s v="R129"/>
        <s v="R130"/>
        <s v="R131"/>
        <s v="R132"/>
        <s v="R133"/>
        <s v="R134"/>
        <s v="R135"/>
        <s v="R136"/>
        <s v="R137"/>
        <s v="R138"/>
        <s v="R139"/>
        <s v="R140"/>
      </sharedItems>
    </cacheField>
    <cacheField name="Room Type" numFmtId="0">
      <sharedItems count="4">
        <s v="Seminar Room"/>
        <s v="Lecture Hall"/>
        <s v="Smart Classroom"/>
        <s v="Lab"/>
      </sharedItems>
    </cacheField>
    <cacheField name="Available slots/wk" numFmtId="0">
      <sharedItems containsSemiMixedTypes="0" containsString="0" containsNumber="1" containsInteger="1" minValue="4" maxValue="5"/>
    </cacheField>
    <cacheField name="Utilised slots/wk" numFmtId="0">
      <sharedItems containsSemiMixedTypes="0" containsString="0" containsNumber="1" containsInteger="1" minValue="0" maxValue="6"/>
    </cacheField>
    <cacheField name="Utilisation %" numFmtId="0">
      <sharedItems containsSemiMixedTypes="0" containsString="0" containsNumber="1" containsInteger="1" minValue="0" maxValue="150"/>
    </cacheField>
    <cacheField name="Utilisation Status" numFmtId="0">
      <sharedItems count="3">
        <s v="Properly utilised"/>
        <s v="Underutilised"/>
        <s v="Overutilised"/>
      </sharedItems>
    </cacheField>
  </cacheFields>
  <extLst>
    <ext xmlns:x14="http://schemas.microsoft.com/office/spreadsheetml/2009/9/main" uri="{725AE2AE-9491-48be-B2B4-4EB974FC3084}">
      <x14:pivotCacheDefinition pivotCacheId="6567870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s v="TS0001"/>
    <x v="0"/>
    <s v="11:00-12:00"/>
    <x v="0"/>
    <s v="EC105"/>
    <x v="0"/>
    <s v="FAC1048"/>
    <s v="R107"/>
    <s v="Smart Classroom"/>
    <n v="2024"/>
    <n v="1"/>
    <s v="A"/>
    <n v="1"/>
    <s v="No"/>
    <s v="No Conflict"/>
  </r>
  <r>
    <s v="TS0002"/>
    <x v="1"/>
    <s v="11:00-12:00"/>
    <x v="1"/>
    <s v="CE123"/>
    <x v="1"/>
    <s v="FAC1042"/>
    <s v="R135"/>
    <s v="Lab"/>
    <n v="2024"/>
    <n v="4"/>
    <s v="D"/>
    <n v="2"/>
    <s v="Yes"/>
    <s v="No Conflict"/>
  </r>
  <r>
    <s v="TS0003"/>
    <x v="2"/>
    <s v="10:00-11:00"/>
    <x v="2"/>
    <s v="ME107"/>
    <x v="2"/>
    <s v="FAC1049"/>
    <s v="R122"/>
    <s v="Smart Classroom"/>
    <n v="2021"/>
    <n v="7"/>
    <s v="A"/>
    <n v="1"/>
    <s v="No"/>
    <s v="No Conflict"/>
  </r>
  <r>
    <s v="TS0004"/>
    <x v="1"/>
    <s v="9:00-10:00"/>
    <x v="3"/>
    <s v="EE130"/>
    <x v="3"/>
    <s v="FAC1025"/>
    <s v="R106"/>
    <s v="Lecture Hall"/>
    <n v="2023"/>
    <n v="4"/>
    <s v="A"/>
    <n v="1"/>
    <s v="No"/>
    <s v="No Conflict"/>
  </r>
  <r>
    <s v="TS0005"/>
    <x v="3"/>
    <s v="2:00-3:00"/>
    <x v="3"/>
    <s v="EE109"/>
    <x v="4"/>
    <s v="FAC1030"/>
    <s v="R124"/>
    <s v="Lecture Hall"/>
    <n v="2022"/>
    <n v="6"/>
    <s v="C"/>
    <n v="2"/>
    <s v="Yes"/>
    <s v="No Conflict"/>
  </r>
  <r>
    <s v="TS0006"/>
    <x v="1"/>
    <s v="11:00-12:00"/>
    <x v="0"/>
    <s v="EC106"/>
    <x v="5"/>
    <s v="FAC1030"/>
    <s v="R125"/>
    <s v="Lecture Hall"/>
    <n v="2023"/>
    <n v="4"/>
    <s v="C"/>
    <n v="2"/>
    <s v="Yes"/>
    <s v="No Conflict"/>
  </r>
  <r>
    <s v="TS0007"/>
    <x v="2"/>
    <s v="9:00-10:00"/>
    <x v="4"/>
    <s v="CS107"/>
    <x v="6"/>
    <s v="FAC1037"/>
    <s v="R121"/>
    <s v="Seminar Room"/>
    <n v="2024"/>
    <n v="7"/>
    <s v="D"/>
    <n v="1"/>
    <s v="No"/>
    <s v="No Conflict"/>
  </r>
  <r>
    <s v="TS0009"/>
    <x v="4"/>
    <s v="2:00-3:00"/>
    <x v="0"/>
    <s v="EC120"/>
    <x v="7"/>
    <s v="FAC1005"/>
    <s v="R125"/>
    <s v="Lecture Hall"/>
    <n v="2024"/>
    <n v="8"/>
    <s v="C"/>
    <n v="2"/>
    <s v="Yes"/>
    <s v="No Conflict"/>
  </r>
  <r>
    <s v="TS0010"/>
    <x v="2"/>
    <s v="2:00-3:00"/>
    <x v="3"/>
    <s v="EE106"/>
    <x v="8"/>
    <s v="FAC1030"/>
    <s v="R101"/>
    <s v="Seminar Room"/>
    <n v="2023"/>
    <n v="3"/>
    <s v="A"/>
    <n v="2"/>
    <s v="Yes"/>
    <s v="No Conflict"/>
  </r>
  <r>
    <s v="TS0014"/>
    <x v="2"/>
    <s v="8:00-9:00"/>
    <x v="1"/>
    <s v="CE119"/>
    <x v="9"/>
    <s v="FAC1036"/>
    <s v="R115"/>
    <s v="Lecture Hall"/>
    <n v="2022"/>
    <n v="1"/>
    <s v="A"/>
    <n v="2"/>
    <s v="Yes"/>
    <s v="No Conflict"/>
  </r>
  <r>
    <s v="TS0015"/>
    <x v="3"/>
    <s v="4:00-5:00"/>
    <x v="0"/>
    <s v="EC108"/>
    <x v="3"/>
    <s v="FAC1018"/>
    <s v="R132"/>
    <s v="Lecture Hall"/>
    <n v="2022"/>
    <n v="8"/>
    <s v="B"/>
    <n v="1"/>
    <s v="No"/>
    <s v="No Conflict"/>
  </r>
  <r>
    <s v="TS0016"/>
    <x v="4"/>
    <s v="2:00-3:00"/>
    <x v="1"/>
    <s v="CE112"/>
    <x v="10"/>
    <s v="FAC1028"/>
    <s v="R127"/>
    <s v="Lab"/>
    <n v="2024"/>
    <n v="1"/>
    <s v="A"/>
    <n v="2"/>
    <s v="Yes"/>
    <s v="No Conflict"/>
  </r>
  <r>
    <s v="TS0017"/>
    <x v="0"/>
    <s v="11:00-12:00"/>
    <x v="5"/>
    <s v="IT118"/>
    <x v="10"/>
    <s v="FAC1029"/>
    <s v="R109"/>
    <s v="Smart Classroom"/>
    <n v="2024"/>
    <n v="3"/>
    <s v="C"/>
    <n v="2"/>
    <s v="Yes"/>
    <s v="No Conflict"/>
  </r>
  <r>
    <s v="TS0018"/>
    <x v="3"/>
    <s v="4:00-5:00"/>
    <x v="0"/>
    <s v="EC127"/>
    <x v="11"/>
    <s v="FAC1001"/>
    <s v="R106"/>
    <s v="Lecture Hall"/>
    <n v="2022"/>
    <n v="3"/>
    <s v="D"/>
    <n v="2"/>
    <s v="Yes"/>
    <s v="No Conflict"/>
  </r>
  <r>
    <s v="TS0020"/>
    <x v="3"/>
    <s v="4:00-5:00"/>
    <x v="1"/>
    <s v="CE102"/>
    <x v="12"/>
    <s v="FAC1048"/>
    <s v="R121"/>
    <s v="Seminar Room"/>
    <n v="2021"/>
    <n v="1"/>
    <s v="D"/>
    <n v="2"/>
    <s v="Yes"/>
    <s v="No Conflict"/>
  </r>
  <r>
    <s v="TS0021"/>
    <x v="1"/>
    <s v="9:00-10:00"/>
    <x v="0"/>
    <s v="EC122"/>
    <x v="13"/>
    <s v="FAC1016"/>
    <s v="R126"/>
    <s v="Seminar Room"/>
    <n v="2021"/>
    <n v="4"/>
    <s v="A"/>
    <n v="2"/>
    <s v="Yes"/>
    <s v="No Conflict"/>
  </r>
  <r>
    <s v="TS0022"/>
    <x v="4"/>
    <s v="1:00-2:00"/>
    <x v="5"/>
    <s v="IT108"/>
    <x v="14"/>
    <s v="FAC1017"/>
    <s v="R126"/>
    <s v="Seminar Room"/>
    <n v="2022"/>
    <n v="5"/>
    <s v="D"/>
    <n v="2"/>
    <s v="Yes"/>
    <s v="No Conflict"/>
  </r>
  <r>
    <s v="TS0023"/>
    <x v="3"/>
    <s v="4:00-5:00"/>
    <x v="4"/>
    <s v="CS107"/>
    <x v="15"/>
    <s v="FAC1033"/>
    <s v="R117"/>
    <s v="Seminar Room"/>
    <n v="2022"/>
    <n v="6"/>
    <s v="A"/>
    <n v="2"/>
    <s v="Yes"/>
    <s v="No Conflict"/>
  </r>
  <r>
    <s v="TS0024"/>
    <x v="1"/>
    <s v="12:00-1:00"/>
    <x v="3"/>
    <s v="EE120"/>
    <x v="16"/>
    <s v="FAC1042"/>
    <s v="R134"/>
    <s v="Seminar Room"/>
    <n v="2023"/>
    <n v="2"/>
    <s v="B"/>
    <n v="1"/>
    <s v="No"/>
    <s v="No Conflict"/>
  </r>
  <r>
    <s v="TS0025"/>
    <x v="2"/>
    <s v="12:00-1:00"/>
    <x v="0"/>
    <s v="EC120"/>
    <x v="17"/>
    <s v="FAC1014"/>
    <s v="R122"/>
    <s v="Smart Classroom"/>
    <n v="2022"/>
    <n v="5"/>
    <s v="D"/>
    <n v="2"/>
    <s v="Yes"/>
    <s v="No Conflict"/>
  </r>
  <r>
    <s v="TS0026"/>
    <x v="3"/>
    <s v="8:00-9:00"/>
    <x v="0"/>
    <s v="EC111"/>
    <x v="2"/>
    <s v="FAC1050"/>
    <s v="R109"/>
    <s v="Smart Classroom"/>
    <n v="2022"/>
    <n v="8"/>
    <s v="D"/>
    <n v="1"/>
    <s v="No"/>
    <s v="No Conflict"/>
  </r>
  <r>
    <s v="TS0027"/>
    <x v="2"/>
    <s v="4:00-5:00"/>
    <x v="0"/>
    <s v="EC105"/>
    <x v="7"/>
    <s v="FAC1028"/>
    <s v="R109"/>
    <s v="Smart Classroom"/>
    <n v="2021"/>
    <n v="5"/>
    <s v="C"/>
    <n v="2"/>
    <s v="Yes"/>
    <s v="No Conflict"/>
  </r>
  <r>
    <s v="TS0028"/>
    <x v="2"/>
    <s v="4:00-5:00"/>
    <x v="1"/>
    <s v="CE129"/>
    <x v="18"/>
    <s v="FAC1027"/>
    <s v="R110"/>
    <s v="Lab"/>
    <n v="2022"/>
    <n v="3"/>
    <s v="B"/>
    <n v="2"/>
    <s v="Yes"/>
    <s v="Conflict"/>
  </r>
  <r>
    <s v="TS0029"/>
    <x v="4"/>
    <s v="11:00-12:00"/>
    <x v="2"/>
    <s v="ME109"/>
    <x v="8"/>
    <s v="FAC1011"/>
    <s v="R107"/>
    <s v="Smart Classroom"/>
    <n v="2021"/>
    <n v="8"/>
    <s v="B"/>
    <n v="1"/>
    <s v="No"/>
    <s v="No Conflict"/>
  </r>
  <r>
    <s v="TS0030"/>
    <x v="0"/>
    <s v="8:00-9:00"/>
    <x v="5"/>
    <s v="IT122"/>
    <x v="19"/>
    <s v="FAC1013"/>
    <s v="R126"/>
    <s v="Seminar Room"/>
    <n v="2023"/>
    <n v="5"/>
    <s v="A"/>
    <n v="2"/>
    <s v="Yes"/>
    <s v="No Conflict"/>
  </r>
  <r>
    <s v="TS0031"/>
    <x v="3"/>
    <s v="9:00-10:00"/>
    <x v="6"/>
    <s v="MC129"/>
    <x v="20"/>
    <s v="FAC1017"/>
    <s v="R112"/>
    <s v="Lab"/>
    <n v="2021"/>
    <n v="2"/>
    <s v="D"/>
    <n v="1"/>
    <s v="No"/>
    <s v="No Conflict"/>
  </r>
  <r>
    <s v="TS0032"/>
    <x v="5"/>
    <s v="11:00-12:00"/>
    <x v="6"/>
    <s v="MC109"/>
    <x v="5"/>
    <s v="FAC1003"/>
    <s v="R128"/>
    <s v="Lab"/>
    <n v="2021"/>
    <n v="4"/>
    <s v="C"/>
    <n v="2"/>
    <s v="Yes"/>
    <s v="No Conflict"/>
  </r>
  <r>
    <s v="TS0034"/>
    <x v="4"/>
    <s v="10:00-11:00"/>
    <x v="1"/>
    <s v="CE120"/>
    <x v="21"/>
    <s v="FAC1037"/>
    <s v="R120"/>
    <s v="Lecture Hall"/>
    <n v="2021"/>
    <n v="5"/>
    <s v="C"/>
    <n v="1"/>
    <s v="No"/>
    <s v="No Conflict"/>
  </r>
  <r>
    <s v="TS0035"/>
    <x v="5"/>
    <s v="11:00-12:00"/>
    <x v="5"/>
    <s v="IT117"/>
    <x v="15"/>
    <s v="FAC1031"/>
    <s v="R111"/>
    <s v="Smart Classroom"/>
    <n v="2023"/>
    <n v="6"/>
    <s v="A"/>
    <n v="1"/>
    <s v="No"/>
    <s v="No Conflict"/>
  </r>
  <r>
    <s v="TS0036"/>
    <x v="3"/>
    <s v="8:00-9:00"/>
    <x v="1"/>
    <s v="CE108"/>
    <x v="22"/>
    <s v="FAC1031"/>
    <s v="R105"/>
    <s v="Smart Classroom"/>
    <n v="2024"/>
    <n v="7"/>
    <s v="B"/>
    <n v="2"/>
    <s v="Yes"/>
    <s v="No Conflict"/>
  </r>
  <r>
    <s v="TS0037"/>
    <x v="4"/>
    <s v="8:00-9:00"/>
    <x v="6"/>
    <s v="MC129"/>
    <x v="18"/>
    <s v="FAC1049"/>
    <s v="R107"/>
    <s v="Smart Classroom"/>
    <n v="2024"/>
    <n v="4"/>
    <s v="B"/>
    <n v="2"/>
    <s v="Yes"/>
    <s v="No Conflict"/>
  </r>
  <r>
    <s v="TS0039"/>
    <x v="4"/>
    <s v="12:00-1:00"/>
    <x v="7"/>
    <s v="MB125"/>
    <x v="14"/>
    <s v="FAC1050"/>
    <s v="R134"/>
    <s v="Seminar Room"/>
    <n v="2024"/>
    <n v="4"/>
    <s v="C"/>
    <n v="2"/>
    <s v="Yes"/>
    <s v="No Conflict"/>
  </r>
  <r>
    <s v="TS0041"/>
    <x v="2"/>
    <s v="4:00-5:00"/>
    <x v="0"/>
    <s v="EC115"/>
    <x v="21"/>
    <s v="FAC1027"/>
    <s v="R104"/>
    <s v="Seminar Room"/>
    <n v="2024"/>
    <n v="7"/>
    <s v="A"/>
    <n v="1"/>
    <s v="No"/>
    <s v="Conflict"/>
  </r>
  <r>
    <s v="TS0042"/>
    <x v="5"/>
    <s v="2:00-3:00"/>
    <x v="4"/>
    <s v="CS118"/>
    <x v="23"/>
    <s v="FAC1048"/>
    <s v="R135"/>
    <s v="Lab"/>
    <n v="2024"/>
    <n v="4"/>
    <s v="C"/>
    <n v="1"/>
    <s v="No"/>
    <s v="No Conflict"/>
  </r>
  <r>
    <s v="TS0043"/>
    <x v="4"/>
    <s v="2:00-3:00"/>
    <x v="4"/>
    <s v="CS124"/>
    <x v="24"/>
    <s v="FAC1011"/>
    <s v="R130"/>
    <s v="Lecture Hall"/>
    <n v="2021"/>
    <n v="7"/>
    <s v="A"/>
    <n v="1"/>
    <s v="No"/>
    <s v="No Conflict"/>
  </r>
  <r>
    <s v="TS0044"/>
    <x v="3"/>
    <s v="12:00-1:00"/>
    <x v="2"/>
    <s v="ME113"/>
    <x v="15"/>
    <s v="FAC1021"/>
    <s v="R114"/>
    <s v="Lab"/>
    <n v="2024"/>
    <n v="6"/>
    <s v="C"/>
    <n v="2"/>
    <s v="Yes"/>
    <s v="No Conflict"/>
  </r>
  <r>
    <s v="TS0045"/>
    <x v="5"/>
    <s v="8:00-9:00"/>
    <x v="6"/>
    <s v="MC124"/>
    <x v="14"/>
    <s v="FAC1035"/>
    <s v="R104"/>
    <s v="Seminar Room"/>
    <n v="2023"/>
    <n v="4"/>
    <s v="A"/>
    <n v="2"/>
    <s v="Yes"/>
    <s v="No Conflict"/>
  </r>
  <r>
    <s v="TS0046"/>
    <x v="1"/>
    <s v="10:00-11:00"/>
    <x v="1"/>
    <s v="CE108"/>
    <x v="22"/>
    <s v="FAC1009"/>
    <s v="R131"/>
    <s v="Lecture Hall"/>
    <n v="2021"/>
    <n v="4"/>
    <s v="D"/>
    <n v="2"/>
    <s v="Yes"/>
    <s v="No Conflict"/>
  </r>
  <r>
    <s v="TS0047"/>
    <x v="0"/>
    <s v="12:00-1:00"/>
    <x v="2"/>
    <s v="ME104"/>
    <x v="5"/>
    <s v="FAC1038"/>
    <s v="R102"/>
    <s v="Lecture Hall"/>
    <n v="2023"/>
    <n v="7"/>
    <s v="D"/>
    <n v="2"/>
    <s v="Yes"/>
    <s v="No Conflict"/>
  </r>
  <r>
    <s v="TS0049"/>
    <x v="5"/>
    <s v="1:00-2:00"/>
    <x v="6"/>
    <s v="MC121"/>
    <x v="25"/>
    <s v="FAC1030"/>
    <s v="R110"/>
    <s v="Lab"/>
    <n v="2024"/>
    <n v="3"/>
    <s v="C"/>
    <n v="2"/>
    <s v="Yes"/>
    <s v="No Conflict"/>
  </r>
  <r>
    <s v="TS0050"/>
    <x v="2"/>
    <s v="11:00-12:00"/>
    <x v="6"/>
    <s v="MC127"/>
    <x v="26"/>
    <s v="FAC1006"/>
    <s v="R118"/>
    <s v="Seminar Room"/>
    <n v="2022"/>
    <n v="8"/>
    <s v="D"/>
    <n v="1"/>
    <s v="No"/>
    <s v="No Conflict"/>
  </r>
  <r>
    <s v="TS0051"/>
    <x v="5"/>
    <s v="11:00-12:00"/>
    <x v="7"/>
    <s v="MB112"/>
    <x v="6"/>
    <s v="FAC1017"/>
    <s v="R122"/>
    <s v="Smart Classroom"/>
    <n v="2023"/>
    <n v="5"/>
    <s v="A"/>
    <n v="2"/>
    <s v="Yes"/>
    <s v="No Conflict"/>
  </r>
  <r>
    <s v="TS0052"/>
    <x v="1"/>
    <s v="11:00-12:00"/>
    <x v="1"/>
    <s v="CE123"/>
    <x v="21"/>
    <s v="FAC1031"/>
    <s v="R132"/>
    <s v="Lecture Hall"/>
    <n v="2021"/>
    <n v="2"/>
    <s v="C"/>
    <n v="1"/>
    <s v="No"/>
    <s v="No Conflict"/>
  </r>
  <r>
    <s v="TS0053"/>
    <x v="5"/>
    <s v="4:00-5:00"/>
    <x v="1"/>
    <s v="CE117"/>
    <x v="19"/>
    <s v="FAC1023"/>
    <s v="R128"/>
    <s v="Lab"/>
    <n v="2023"/>
    <n v="8"/>
    <s v="C"/>
    <n v="1"/>
    <s v="No"/>
    <s v="No Conflict"/>
  </r>
  <r>
    <s v="TS0054"/>
    <x v="2"/>
    <s v="9:00-10:00"/>
    <x v="1"/>
    <s v="CE124"/>
    <x v="27"/>
    <s v="FAC1035"/>
    <s v="R112"/>
    <s v="Lab"/>
    <n v="2022"/>
    <n v="4"/>
    <s v="D"/>
    <n v="2"/>
    <s v="Yes"/>
    <s v="No Conflict"/>
  </r>
  <r>
    <s v="TS0055"/>
    <x v="0"/>
    <s v="1:00-2:00"/>
    <x v="0"/>
    <s v="EC106"/>
    <x v="22"/>
    <s v="FAC1020"/>
    <s v="R101"/>
    <s v="Seminar Room"/>
    <n v="2023"/>
    <n v="1"/>
    <s v="A"/>
    <n v="1"/>
    <s v="No"/>
    <s v="No Conflict"/>
  </r>
  <r>
    <s v="TS0057"/>
    <x v="5"/>
    <s v="9:00-10:00"/>
    <x v="0"/>
    <s v="EC119"/>
    <x v="28"/>
    <s v="FAC1041"/>
    <s v="R104"/>
    <s v="Seminar Room"/>
    <n v="2022"/>
    <n v="5"/>
    <s v="A"/>
    <n v="1"/>
    <s v="No"/>
    <s v="No Conflict"/>
  </r>
  <r>
    <s v="TS0058"/>
    <x v="1"/>
    <s v="2:00-3:00"/>
    <x v="6"/>
    <s v="MC115"/>
    <x v="5"/>
    <s v="FAC1029"/>
    <s v="R120"/>
    <s v="Lecture Hall"/>
    <n v="2024"/>
    <n v="5"/>
    <s v="A"/>
    <n v="2"/>
    <s v="Yes"/>
    <s v="No Conflict"/>
  </r>
  <r>
    <s v="TS0059"/>
    <x v="0"/>
    <s v="11:00-12:00"/>
    <x v="1"/>
    <s v="CE106"/>
    <x v="14"/>
    <s v="FAC1036"/>
    <s v="R105"/>
    <s v="Smart Classroom"/>
    <n v="2022"/>
    <n v="1"/>
    <s v="D"/>
    <n v="2"/>
    <s v="Yes"/>
    <s v="No Conflict"/>
  </r>
  <r>
    <s v="TS0061"/>
    <x v="0"/>
    <s v="9:00-10:00"/>
    <x v="1"/>
    <s v="CE102"/>
    <x v="7"/>
    <s v="FAC1011"/>
    <s v="R120"/>
    <s v="Lecture Hall"/>
    <n v="2024"/>
    <n v="2"/>
    <s v="D"/>
    <n v="1"/>
    <s v="No"/>
    <s v="No Conflict"/>
  </r>
  <r>
    <s v="TS0062"/>
    <x v="5"/>
    <s v="9:00-10:00"/>
    <x v="3"/>
    <s v="EE120"/>
    <x v="1"/>
    <s v="FAC1003"/>
    <s v="R128"/>
    <s v="Lab"/>
    <n v="2023"/>
    <n v="1"/>
    <s v="A"/>
    <n v="1"/>
    <s v="No"/>
    <s v="No Conflict"/>
  </r>
  <r>
    <s v="TS0063"/>
    <x v="0"/>
    <s v="3:00-4:00"/>
    <x v="3"/>
    <s v="EE117"/>
    <x v="29"/>
    <s v="FAC1042"/>
    <s v="R129"/>
    <s v="Smart Classroom"/>
    <n v="2023"/>
    <n v="3"/>
    <s v="D"/>
    <n v="2"/>
    <s v="Yes"/>
    <s v="No Conflict"/>
  </r>
  <r>
    <s v="TS0064"/>
    <x v="2"/>
    <s v="1:00-2:00"/>
    <x v="7"/>
    <s v="MB122"/>
    <x v="23"/>
    <s v="FAC1007"/>
    <s v="R111"/>
    <s v="Smart Classroom"/>
    <n v="2024"/>
    <n v="8"/>
    <s v="C"/>
    <n v="1"/>
    <s v="No"/>
    <s v="No Conflict"/>
  </r>
  <r>
    <s v="TS0065"/>
    <x v="2"/>
    <s v="1:00-2:00"/>
    <x v="7"/>
    <s v="MB104"/>
    <x v="4"/>
    <s v="FAC1050"/>
    <s v="R126"/>
    <s v="Seminar Room"/>
    <n v="2024"/>
    <n v="7"/>
    <s v="A"/>
    <n v="1"/>
    <s v="No"/>
    <s v="No Conflict"/>
  </r>
  <r>
    <s v="TS0066"/>
    <x v="0"/>
    <s v="12:00-1:00"/>
    <x v="7"/>
    <s v="MB118"/>
    <x v="11"/>
    <s v="FAC1009"/>
    <s v="R119"/>
    <s v="Smart Classroom"/>
    <n v="2024"/>
    <n v="8"/>
    <s v="A"/>
    <n v="2"/>
    <s v="Yes"/>
    <s v="No Conflict"/>
  </r>
  <r>
    <s v="TS0067"/>
    <x v="1"/>
    <s v="2:00-3:00"/>
    <x v="2"/>
    <s v="ME103"/>
    <x v="19"/>
    <s v="FAC1015"/>
    <s v="R108"/>
    <s v="Smart Classroom"/>
    <n v="2024"/>
    <n v="2"/>
    <s v="B"/>
    <n v="2"/>
    <s v="Yes"/>
    <s v="No Conflict"/>
  </r>
  <r>
    <s v="TS0068"/>
    <x v="5"/>
    <s v="11:00-12:00"/>
    <x v="3"/>
    <s v="EE115"/>
    <x v="21"/>
    <s v="FAC1036"/>
    <s v="R110"/>
    <s v="Lab"/>
    <n v="2022"/>
    <n v="3"/>
    <s v="A"/>
    <n v="1"/>
    <s v="No"/>
    <s v="No Conflict"/>
  </r>
  <r>
    <s v="TS0070"/>
    <x v="0"/>
    <s v="11:00-12:00"/>
    <x v="6"/>
    <s v="MC119"/>
    <x v="15"/>
    <s v="FAC1025"/>
    <s v="R115"/>
    <s v="Lecture Hall"/>
    <n v="2021"/>
    <n v="6"/>
    <s v="D"/>
    <n v="1"/>
    <s v="No"/>
    <s v="No Conflict"/>
  </r>
  <r>
    <s v="TS0072"/>
    <x v="5"/>
    <s v="12:00-1:00"/>
    <x v="6"/>
    <s v="MC111"/>
    <x v="7"/>
    <s v="FAC1040"/>
    <s v="R126"/>
    <s v="Seminar Room"/>
    <n v="2021"/>
    <n v="6"/>
    <s v="D"/>
    <n v="2"/>
    <s v="Yes"/>
    <s v="No Conflict"/>
  </r>
  <r>
    <s v="TS0074"/>
    <x v="2"/>
    <s v="8:00-9:00"/>
    <x v="3"/>
    <s v="EE110"/>
    <x v="0"/>
    <s v="FAC1023"/>
    <s v="R124"/>
    <s v="Lecture Hall"/>
    <n v="2024"/>
    <n v="3"/>
    <s v="B"/>
    <n v="2"/>
    <s v="Yes"/>
    <s v="No Conflict"/>
  </r>
  <r>
    <s v="TS0075"/>
    <x v="1"/>
    <s v="2:00-3:00"/>
    <x v="2"/>
    <s v="ME120"/>
    <x v="13"/>
    <s v="FAC1044"/>
    <s v="R116"/>
    <s v="Smart Classroom"/>
    <n v="2024"/>
    <n v="3"/>
    <s v="B"/>
    <n v="2"/>
    <s v="Yes"/>
    <s v="No Conflict"/>
  </r>
  <r>
    <s v="TS0076"/>
    <x v="5"/>
    <s v="12:00-1:00"/>
    <x v="7"/>
    <s v="MB122"/>
    <x v="14"/>
    <s v="FAC1035"/>
    <s v="R111"/>
    <s v="Smart Classroom"/>
    <n v="2021"/>
    <n v="8"/>
    <s v="C"/>
    <n v="2"/>
    <s v="Yes"/>
    <s v="No Conflict"/>
  </r>
  <r>
    <s v="TS0077"/>
    <x v="0"/>
    <s v="2:00-3:00"/>
    <x v="3"/>
    <s v="EE128"/>
    <x v="15"/>
    <s v="FAC1031"/>
    <s v="R107"/>
    <s v="Smart Classroom"/>
    <n v="2024"/>
    <n v="6"/>
    <s v="C"/>
    <n v="1"/>
    <s v="No"/>
    <s v="No Conflict"/>
  </r>
  <r>
    <s v="TS0078"/>
    <x v="1"/>
    <s v="8:00-9:00"/>
    <x v="6"/>
    <s v="MC130"/>
    <x v="30"/>
    <s v="FAC1039"/>
    <s v="R132"/>
    <s v="Lecture Hall"/>
    <n v="2023"/>
    <n v="4"/>
    <s v="C"/>
    <n v="2"/>
    <s v="Yes"/>
    <s v="No Conflict"/>
  </r>
  <r>
    <s v="TS0079"/>
    <x v="4"/>
    <s v="8:00-9:00"/>
    <x v="3"/>
    <s v="EE110"/>
    <x v="31"/>
    <s v="FAC1029"/>
    <s v="R103"/>
    <s v="Lecture Hall"/>
    <n v="2023"/>
    <n v="3"/>
    <s v="A"/>
    <n v="2"/>
    <s v="Yes"/>
    <s v="No Conflict"/>
  </r>
  <r>
    <s v="TS0080"/>
    <x v="0"/>
    <s v="4:00-5:00"/>
    <x v="6"/>
    <s v="MC129"/>
    <x v="13"/>
    <s v="FAC1024"/>
    <s v="R134"/>
    <s v="Seminar Room"/>
    <n v="2023"/>
    <n v="3"/>
    <s v="C"/>
    <n v="2"/>
    <s v="Yes"/>
    <s v="No Conflict"/>
  </r>
  <r>
    <s v="TS0081"/>
    <x v="3"/>
    <s v="10:00-11:00"/>
    <x v="5"/>
    <s v="IT125"/>
    <x v="27"/>
    <s v="FAC1015"/>
    <s v="R126"/>
    <s v="Seminar Room"/>
    <n v="2021"/>
    <n v="7"/>
    <s v="A"/>
    <n v="1"/>
    <s v="No"/>
    <s v="No Conflict"/>
  </r>
  <r>
    <s v="TS0082"/>
    <x v="1"/>
    <s v="2:00-3:00"/>
    <x v="7"/>
    <s v="MB127"/>
    <x v="32"/>
    <s v="FAC1041"/>
    <s v="R124"/>
    <s v="Lecture Hall"/>
    <n v="2022"/>
    <n v="8"/>
    <s v="A"/>
    <n v="1"/>
    <s v="No"/>
    <s v="No Conflict"/>
  </r>
  <r>
    <s v="TS0083"/>
    <x v="4"/>
    <s v="2:00-3:00"/>
    <x v="0"/>
    <s v="EC104"/>
    <x v="15"/>
    <s v="FAC1009"/>
    <s v="R103"/>
    <s v="Lecture Hall"/>
    <n v="2023"/>
    <n v="8"/>
    <s v="A"/>
    <n v="1"/>
    <s v="No"/>
    <s v="No Conflict"/>
  </r>
  <r>
    <s v="TS0084"/>
    <x v="2"/>
    <s v="4:00-5:00"/>
    <x v="2"/>
    <s v="ME114"/>
    <x v="24"/>
    <s v="FAC1038"/>
    <s v="R110"/>
    <s v="Lab"/>
    <n v="2021"/>
    <n v="8"/>
    <s v="D"/>
    <n v="1"/>
    <s v="No"/>
    <s v="No Conflict"/>
  </r>
  <r>
    <s v="TS0085"/>
    <x v="5"/>
    <s v="11:00-12:00"/>
    <x v="5"/>
    <s v="IT128"/>
    <x v="33"/>
    <s v="FAC1024"/>
    <s v="R107"/>
    <s v="Smart Classroom"/>
    <n v="2023"/>
    <n v="1"/>
    <s v="D"/>
    <n v="1"/>
    <s v="No"/>
    <s v="No Conflict"/>
  </r>
  <r>
    <s v="TS0087"/>
    <x v="1"/>
    <s v="11:00-12:00"/>
    <x v="1"/>
    <s v="CE127"/>
    <x v="28"/>
    <s v="FAC1015"/>
    <s v="R122"/>
    <s v="Smart Classroom"/>
    <n v="2022"/>
    <n v="1"/>
    <s v="C"/>
    <n v="2"/>
    <s v="Yes"/>
    <s v="No Conflict"/>
  </r>
  <r>
    <s v="TS0088"/>
    <x v="4"/>
    <s v="8:00-9:00"/>
    <x v="3"/>
    <s v="EE105"/>
    <x v="13"/>
    <s v="FAC1001"/>
    <s v="R123"/>
    <s v="Seminar Room"/>
    <n v="2022"/>
    <n v="6"/>
    <s v="A"/>
    <n v="2"/>
    <s v="Yes"/>
    <s v="No Conflict"/>
  </r>
  <r>
    <s v="TS0089"/>
    <x v="1"/>
    <s v="9:00-10:00"/>
    <x v="4"/>
    <s v="CS124"/>
    <x v="31"/>
    <s v="FAC1005"/>
    <s v="R131"/>
    <s v="Lecture Hall"/>
    <n v="2023"/>
    <n v="2"/>
    <s v="D"/>
    <n v="1"/>
    <s v="No"/>
    <s v="No Conflict"/>
  </r>
  <r>
    <s v="TS0091"/>
    <x v="3"/>
    <s v="10:00-11:00"/>
    <x v="5"/>
    <s v="IT109"/>
    <x v="5"/>
    <s v="FAC1040"/>
    <s v="R138"/>
    <s v="Lecture Hall"/>
    <n v="2023"/>
    <n v="7"/>
    <s v="C"/>
    <n v="2"/>
    <s v="Yes"/>
    <s v="No Conflict"/>
  </r>
  <r>
    <s v="TS0092"/>
    <x v="5"/>
    <s v="3:00-4:00"/>
    <x v="0"/>
    <s v="EC129"/>
    <x v="27"/>
    <s v="FAC1015"/>
    <s v="R127"/>
    <s v="Lab"/>
    <n v="2023"/>
    <n v="8"/>
    <s v="D"/>
    <n v="2"/>
    <s v="Yes"/>
    <s v="No Conflict"/>
  </r>
  <r>
    <s v="TS0093"/>
    <x v="4"/>
    <s v="12:00-1:00"/>
    <x v="5"/>
    <s v="IT112"/>
    <x v="2"/>
    <s v="FAC1010"/>
    <s v="R131"/>
    <s v="Lecture Hall"/>
    <n v="2021"/>
    <n v="2"/>
    <s v="A"/>
    <n v="1"/>
    <s v="No"/>
    <s v="No Conflict"/>
  </r>
  <r>
    <s v="TS0094"/>
    <x v="1"/>
    <s v="4:00-5:00"/>
    <x v="5"/>
    <s v="IT118"/>
    <x v="31"/>
    <s v="FAC1022"/>
    <s v="R108"/>
    <s v="Smart Classroom"/>
    <n v="2024"/>
    <n v="6"/>
    <s v="D"/>
    <n v="2"/>
    <s v="Yes"/>
    <s v="No Conflict"/>
  </r>
  <r>
    <s v="TS0095"/>
    <x v="1"/>
    <s v="4:00-5:00"/>
    <x v="3"/>
    <s v="EE107"/>
    <x v="23"/>
    <s v="FAC1010"/>
    <s v="R131"/>
    <s v="Lecture Hall"/>
    <n v="2022"/>
    <n v="2"/>
    <s v="C"/>
    <n v="2"/>
    <s v="Yes"/>
    <s v="No Conflict"/>
  </r>
  <r>
    <s v="TS0096"/>
    <x v="5"/>
    <s v="4:00-5:00"/>
    <x v="3"/>
    <s v="EE125"/>
    <x v="29"/>
    <s v="FAC1040"/>
    <s v="R136"/>
    <s v="Lecture Hall"/>
    <n v="2021"/>
    <n v="5"/>
    <s v="A"/>
    <n v="2"/>
    <s v="Yes"/>
    <s v="No Conflict"/>
  </r>
  <r>
    <s v="TS0097"/>
    <x v="3"/>
    <s v="10:00-11:00"/>
    <x v="3"/>
    <s v="EE128"/>
    <x v="8"/>
    <s v="FAC1010"/>
    <s v="R137"/>
    <s v="Lecture Hall"/>
    <n v="2021"/>
    <n v="3"/>
    <s v="A"/>
    <n v="1"/>
    <s v="No"/>
    <s v="No Conflict"/>
  </r>
  <r>
    <s v="TS0098"/>
    <x v="2"/>
    <s v="10:00-11:00"/>
    <x v="6"/>
    <s v="MC112"/>
    <x v="21"/>
    <s v="FAC1020"/>
    <s v="R121"/>
    <s v="Seminar Room"/>
    <n v="2021"/>
    <n v="3"/>
    <s v="B"/>
    <n v="1"/>
    <s v="No"/>
    <s v="No Conflict"/>
  </r>
  <r>
    <s v="TS0099"/>
    <x v="5"/>
    <s v="3:00-4:00"/>
    <x v="3"/>
    <s v="EE114"/>
    <x v="11"/>
    <s v="FAC1018"/>
    <s v="R114"/>
    <s v="Lab"/>
    <n v="2023"/>
    <n v="7"/>
    <s v="A"/>
    <n v="1"/>
    <s v="No"/>
    <s v="No Conflict"/>
  </r>
  <r>
    <s v="TS0100"/>
    <x v="5"/>
    <s v="8:00-9:00"/>
    <x v="3"/>
    <s v="EE101"/>
    <x v="3"/>
    <s v="FAC1014"/>
    <s v="R120"/>
    <s v="Lecture Hall"/>
    <n v="2022"/>
    <n v="3"/>
    <s v="C"/>
    <n v="2"/>
    <s v="Yes"/>
    <s v="No Conflict"/>
  </r>
  <r>
    <s v="TS0101"/>
    <x v="3"/>
    <s v="8:00-9:00"/>
    <x v="0"/>
    <s v="EC123"/>
    <x v="0"/>
    <s v="FAC1009"/>
    <s v="R101"/>
    <s v="Seminar Room"/>
    <n v="2022"/>
    <n v="8"/>
    <s v="A"/>
    <n v="2"/>
    <s v="Yes"/>
    <s v="No Conflict"/>
  </r>
  <r>
    <s v="TS0102"/>
    <x v="2"/>
    <s v="11:00-12:00"/>
    <x v="4"/>
    <s v="CS111"/>
    <x v="4"/>
    <s v="FAC1021"/>
    <s v="R140"/>
    <s v="Seminar Room"/>
    <n v="2024"/>
    <n v="7"/>
    <s v="C"/>
    <n v="1"/>
    <s v="Yes"/>
    <s v="No Conflict"/>
  </r>
  <r>
    <s v="TS0103"/>
    <x v="6"/>
    <s v="12:00-1:00"/>
    <x v="1"/>
    <s v="CE111"/>
    <x v="14"/>
    <s v="FAC1004"/>
    <s v="R108"/>
    <s v="Smart Classroom"/>
    <n v="2023"/>
    <n v="7"/>
    <s v="C"/>
    <n v="1"/>
    <s v="No"/>
    <s v="No Conflict"/>
  </r>
  <r>
    <s v="TS0104"/>
    <x v="7"/>
    <s v="9:00-10:00"/>
    <x v="0"/>
    <s v="EC111"/>
    <x v="5"/>
    <s v="FAC1012"/>
    <s v="R127"/>
    <s v="Lab"/>
    <n v="2023"/>
    <n v="3"/>
    <s v="B"/>
    <n v="2"/>
    <s v="No"/>
    <s v="No Conflict"/>
  </r>
  <r>
    <s v="TS0105"/>
    <x v="2"/>
    <s v="8:00-9:00"/>
    <x v="6"/>
    <s v="MC111"/>
    <x v="7"/>
    <s v="FAC1016"/>
    <s v="R127"/>
    <s v="Lab"/>
    <n v="2021"/>
    <n v="5"/>
    <s v="D"/>
    <n v="2"/>
    <s v="Yes"/>
    <s v="No Conflict"/>
  </r>
  <r>
    <s v="TS0106"/>
    <x v="3"/>
    <s v="9:00-10:00"/>
    <x v="0"/>
    <s v="EC111"/>
    <x v="16"/>
    <s v="FAC1022"/>
    <s v="R129"/>
    <s v="Smart Classroom"/>
    <n v="2022"/>
    <n v="4"/>
    <s v="B"/>
    <n v="1"/>
    <s v="Yes"/>
    <s v="No Conflict"/>
  </r>
  <r>
    <s v="TS0107"/>
    <x v="2"/>
    <s v="12:00-1:00"/>
    <x v="3"/>
    <s v="EE122"/>
    <x v="17"/>
    <s v="FAC1026"/>
    <s v="R127"/>
    <s v="Lab"/>
    <n v="2022"/>
    <n v="3"/>
    <s v="C"/>
    <n v="1"/>
    <s v="Yes"/>
    <s v="No Conflict"/>
  </r>
  <r>
    <s v="TS0108"/>
    <x v="2"/>
    <s v="11:00-12:00"/>
    <x v="4"/>
    <s v="CS113"/>
    <x v="4"/>
    <s v="FAC1025"/>
    <s v="R107"/>
    <s v="Smart Classroom"/>
    <n v="2022"/>
    <n v="5"/>
    <s v="B"/>
    <n v="2"/>
    <s v="No"/>
    <s v="No Conflict"/>
  </r>
  <r>
    <s v="TS0109"/>
    <x v="7"/>
    <s v="10:00-11:00"/>
    <x v="2"/>
    <s v="ME112"/>
    <x v="14"/>
    <s v="FAC1036"/>
    <s v="R124"/>
    <s v="Lecture Hall"/>
    <n v="2022"/>
    <n v="5"/>
    <s v="D"/>
    <n v="1"/>
    <s v="No"/>
    <s v="No Conflic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s v="FAC1001"/>
    <x v="0"/>
    <s v="MBA"/>
    <x v="0"/>
    <s v="M.Tech, Ph.D"/>
    <n v="5"/>
    <s v="Even"/>
    <n v="2023"/>
    <n v="8"/>
    <n v="2"/>
    <n v="4"/>
    <n v="4"/>
    <n v="8"/>
    <x v="0"/>
  </r>
  <r>
    <s v="FAC1002"/>
    <x v="1"/>
    <s v="MBA"/>
    <x v="1"/>
    <s v="Ph.D"/>
    <n v="19"/>
    <s v="Even"/>
    <n v="2023"/>
    <n v="10"/>
    <n v="0"/>
    <n v="0"/>
    <n v="0"/>
    <n v="0"/>
    <x v="1"/>
  </r>
  <r>
    <s v="FAC1003"/>
    <x v="2"/>
    <s v="MBA"/>
    <x v="2"/>
    <s v="B.Tech, M.Tech"/>
    <n v="14"/>
    <s v="Odd"/>
    <n v="2024"/>
    <n v="8"/>
    <n v="2"/>
    <n v="3"/>
    <n v="2"/>
    <n v="5"/>
    <x v="1"/>
  </r>
  <r>
    <s v="FAC1004"/>
    <x v="3"/>
    <s v="CE"/>
    <x v="2"/>
    <s v="M.Tech, Ph.D"/>
    <n v="3"/>
    <s v="Even"/>
    <n v="2025"/>
    <n v="8"/>
    <n v="1"/>
    <n v="1"/>
    <n v="0"/>
    <n v="1"/>
    <x v="1"/>
  </r>
  <r>
    <s v="FAC1005"/>
    <x v="4"/>
    <s v="ME"/>
    <x v="2"/>
    <s v="M.Tech, Ph.D"/>
    <n v="6"/>
    <s v="Even"/>
    <n v="2025"/>
    <n v="8"/>
    <n v="2"/>
    <n v="3"/>
    <n v="2"/>
    <n v="5"/>
    <x v="1"/>
  </r>
  <r>
    <s v="FAC1006"/>
    <x v="5"/>
    <s v="IT"/>
    <x v="2"/>
    <s v="M.Tech, Ph.D"/>
    <n v="15"/>
    <s v="Even"/>
    <n v="2025"/>
    <n v="8"/>
    <n v="1"/>
    <n v="1"/>
    <n v="0"/>
    <n v="1"/>
    <x v="1"/>
  </r>
  <r>
    <s v="FAC1007"/>
    <x v="6"/>
    <s v="EEE"/>
    <x v="0"/>
    <s v="M.E."/>
    <n v="2"/>
    <s v="Odd"/>
    <n v="2025"/>
    <n v="10"/>
    <n v="1"/>
    <n v="1"/>
    <n v="0"/>
    <n v="1"/>
    <x v="1"/>
  </r>
  <r>
    <s v="FAC1008"/>
    <x v="7"/>
    <s v="CSE"/>
    <x v="0"/>
    <s v="M.Sc, Ph.D"/>
    <s v="Unknown"/>
    <s v="Odd"/>
    <n v="2023"/>
    <n v="10"/>
    <n v="0"/>
    <n v="0"/>
    <n v="0"/>
    <n v="0"/>
    <x v="1"/>
  </r>
  <r>
    <s v="FAC1009"/>
    <x v="8"/>
    <s v="ECE"/>
    <x v="3"/>
    <s v="MBA, Ph.D"/>
    <n v="6"/>
    <s v="Odd"/>
    <n v="2024"/>
    <n v="10"/>
    <n v="4"/>
    <n v="7"/>
    <n v="6"/>
    <n v="13"/>
    <x v="2"/>
  </r>
  <r>
    <s v="FAC1010"/>
    <x v="9"/>
    <s v="IT"/>
    <x v="3"/>
    <s v="Unknown"/>
    <n v="26"/>
    <s v="Even"/>
    <n v="2024"/>
    <n v="10"/>
    <n v="3"/>
    <n v="4"/>
    <n v="2"/>
    <n v="6"/>
    <x v="1"/>
  </r>
  <r>
    <s v="FAC1011"/>
    <x v="10"/>
    <s v="ME"/>
    <x v="2"/>
    <s v="Ph.D"/>
    <n v="21"/>
    <s v="Even"/>
    <n v="2025"/>
    <n v="8"/>
    <n v="3"/>
    <n v="3"/>
    <n v="0"/>
    <n v="3"/>
    <x v="1"/>
  </r>
  <r>
    <s v="FAC1012"/>
    <x v="11"/>
    <s v="ECE"/>
    <x v="0"/>
    <s v="M.Sc, Ph.D"/>
    <n v="12"/>
    <s v="Even"/>
    <n v="2024"/>
    <n v="10"/>
    <n v="1"/>
    <n v="2"/>
    <n v="0"/>
    <n v="2"/>
    <x v="1"/>
  </r>
  <r>
    <s v="FAC1013"/>
    <x v="12"/>
    <s v="ECE"/>
    <x v="2"/>
    <s v="B.Tech, M.Tech"/>
    <n v="17"/>
    <s v="Odd"/>
    <n v="2025"/>
    <n v="8"/>
    <n v="1"/>
    <n v="2"/>
    <n v="2"/>
    <n v="4"/>
    <x v="1"/>
  </r>
  <r>
    <s v="FAC1014"/>
    <x v="13"/>
    <s v="ME"/>
    <x v="0"/>
    <s v="B.Tech, M.Tech"/>
    <n v="14"/>
    <s v="Even"/>
    <n v="2025"/>
    <n v="8"/>
    <n v="2"/>
    <n v="4"/>
    <n v="4"/>
    <n v="8"/>
    <x v="0"/>
  </r>
  <r>
    <s v="FAC1015"/>
    <x v="14"/>
    <s v="CE"/>
    <x v="2"/>
    <s v="Unknown"/>
    <n v="29"/>
    <s v="Even"/>
    <n v="2024"/>
    <n v="8"/>
    <n v="4"/>
    <n v="7"/>
    <n v="6"/>
    <n v="13"/>
    <x v="2"/>
  </r>
  <r>
    <s v="FAC1016"/>
    <x v="15"/>
    <s v="MCA"/>
    <x v="4"/>
    <s v="M.Tech, Ph.D"/>
    <n v="26"/>
    <s v="Even"/>
    <n v="2025"/>
    <n v="10"/>
    <n v="2"/>
    <n v="4"/>
    <n v="4"/>
    <n v="8"/>
    <x v="1"/>
  </r>
  <r>
    <s v="FAC1017"/>
    <x v="16"/>
    <s v="ME"/>
    <x v="2"/>
    <s v="M.E."/>
    <n v="29"/>
    <s v="Even"/>
    <n v="2023"/>
    <n v="8"/>
    <n v="3"/>
    <n v="5"/>
    <n v="4"/>
    <n v="9"/>
    <x v="2"/>
  </r>
  <r>
    <s v="FAC1018"/>
    <x v="17"/>
    <s v="IT"/>
    <x v="4"/>
    <s v="M.E."/>
    <n v="3"/>
    <s v="Even"/>
    <n v="2023"/>
    <n v="10"/>
    <n v="2"/>
    <n v="2"/>
    <n v="0"/>
    <n v="2"/>
    <x v="1"/>
  </r>
  <r>
    <s v="FAC1019"/>
    <x v="18"/>
    <s v="MBA"/>
    <x v="4"/>
    <s v="MBA, Ph.D"/>
    <n v="16"/>
    <s v="Even"/>
    <n v="2023"/>
    <n v="10"/>
    <n v="0"/>
    <n v="0"/>
    <n v="0"/>
    <n v="0"/>
    <x v="1"/>
  </r>
  <r>
    <s v="FAC1020"/>
    <x v="19"/>
    <s v="MCA"/>
    <x v="1"/>
    <s v="Ph.D"/>
    <n v="8"/>
    <s v="Even"/>
    <n v="2023"/>
    <n v="10"/>
    <n v="2"/>
    <n v="2"/>
    <n v="0"/>
    <n v="2"/>
    <x v="1"/>
  </r>
  <r>
    <s v="FAC1021"/>
    <x v="20"/>
    <s v="CSE"/>
    <x v="3"/>
    <s v="M.Sc, Ph.D"/>
    <n v="8"/>
    <s v="Even"/>
    <n v="2023"/>
    <n v="10"/>
    <n v="2"/>
    <n v="3"/>
    <n v="3"/>
    <n v="6"/>
    <x v="1"/>
  </r>
  <r>
    <s v="FAC1022"/>
    <x v="21"/>
    <s v="ECE"/>
    <x v="3"/>
    <s v="Ph.D"/>
    <s v="Unknown"/>
    <s v="Even"/>
    <n v="2024"/>
    <n v="10"/>
    <n v="2"/>
    <n v="3"/>
    <n v="3"/>
    <n v="6"/>
    <x v="1"/>
  </r>
  <r>
    <s v="FAC1023"/>
    <x v="22"/>
    <s v="ECE"/>
    <x v="2"/>
    <s v="M.Tech, Ph.D"/>
    <n v="24"/>
    <s v="Odd"/>
    <n v="2023"/>
    <n v="8"/>
    <n v="2"/>
    <n v="3"/>
    <n v="2"/>
    <n v="5"/>
    <x v="1"/>
  </r>
  <r>
    <s v="FAC1024"/>
    <x v="23"/>
    <s v="MBA"/>
    <x v="0"/>
    <s v="MBA, Ph.D"/>
    <n v="6"/>
    <s v="Odd"/>
    <n v="2024"/>
    <n v="10"/>
    <n v="2"/>
    <n v="3"/>
    <n v="2"/>
    <n v="5"/>
    <x v="1"/>
  </r>
  <r>
    <s v="FAC1025"/>
    <x v="24"/>
    <s v="CSE"/>
    <x v="2"/>
    <s v="Ph.D"/>
    <n v="17"/>
    <s v="Odd"/>
    <n v="2024"/>
    <n v="8"/>
    <n v="3"/>
    <n v="4"/>
    <n v="0"/>
    <n v="4"/>
    <x v="1"/>
  </r>
  <r>
    <s v="FAC1026"/>
    <x v="25"/>
    <s v="EEE"/>
    <x v="1"/>
    <s v="Ph.D"/>
    <n v="14"/>
    <s v="Even"/>
    <n v="2025"/>
    <n v="10"/>
    <n v="1"/>
    <n v="1"/>
    <n v="1"/>
    <n v="2"/>
    <x v="1"/>
  </r>
  <r>
    <s v="FAC1027"/>
    <x v="26"/>
    <s v="ECE"/>
    <x v="0"/>
    <s v="B.Tech, M.Tech"/>
    <n v="14"/>
    <s v="Odd"/>
    <n v="2024"/>
    <n v="10"/>
    <n v="2"/>
    <n v="3"/>
    <n v="2"/>
    <n v="5"/>
    <x v="1"/>
  </r>
  <r>
    <s v="FAC1028"/>
    <x v="27"/>
    <s v="MCA"/>
    <x v="4"/>
    <s v="MBA, Ph.D"/>
    <n v="15"/>
    <s v="Even"/>
    <n v="2024"/>
    <n v="8"/>
    <n v="2"/>
    <n v="4"/>
    <n v="4"/>
    <n v="8"/>
    <x v="0"/>
  </r>
  <r>
    <s v="FAC1029"/>
    <x v="28"/>
    <s v="MCA"/>
    <x v="2"/>
    <s v="M.Sc, Ph.D"/>
    <n v="26"/>
    <s v="Even"/>
    <n v="2023"/>
    <n v="8"/>
    <n v="3"/>
    <n v="6"/>
    <n v="6"/>
    <n v="12"/>
    <x v="2"/>
  </r>
  <r>
    <s v="FAC1030"/>
    <x v="29"/>
    <s v="IT"/>
    <x v="2"/>
    <s v="M.E."/>
    <n v="19"/>
    <s v="Even"/>
    <n v="2024"/>
    <n v="8"/>
    <n v="4"/>
    <n v="8"/>
    <n v="8"/>
    <n v="16"/>
    <x v="2"/>
  </r>
  <r>
    <s v="FAC1031"/>
    <x v="30"/>
    <s v="IT"/>
    <x v="0"/>
    <s v="Ph.D"/>
    <n v="21"/>
    <s v="Even"/>
    <n v="2025"/>
    <n v="10"/>
    <n v="4"/>
    <n v="5"/>
    <n v="2"/>
    <n v="7"/>
    <x v="1"/>
  </r>
  <r>
    <s v="FAC1032"/>
    <x v="31"/>
    <s v="EEE"/>
    <x v="0"/>
    <s v="M.Tech, Ph.D"/>
    <n v="20"/>
    <s v="Odd"/>
    <n v="2024"/>
    <n v="10"/>
    <n v="0"/>
    <n v="0"/>
    <n v="0"/>
    <n v="0"/>
    <x v="1"/>
  </r>
  <r>
    <s v="FAC1033"/>
    <x v="32"/>
    <s v="IT"/>
    <x v="2"/>
    <s v="MBA, Ph.D"/>
    <n v="3"/>
    <s v="Even"/>
    <n v="2025"/>
    <n v="8"/>
    <n v="1"/>
    <n v="2"/>
    <n v="2"/>
    <n v="4"/>
    <x v="1"/>
  </r>
  <r>
    <s v="FAC1034"/>
    <x v="33"/>
    <s v="ME"/>
    <x v="4"/>
    <s v="M.E."/>
    <n v="1"/>
    <s v="Odd"/>
    <n v="2025"/>
    <n v="10"/>
    <n v="0"/>
    <n v="0"/>
    <n v="0"/>
    <n v="0"/>
    <x v="1"/>
  </r>
  <r>
    <s v="FAC1035"/>
    <x v="34"/>
    <s v="MBA"/>
    <x v="3"/>
    <s v="M.E."/>
    <n v="25"/>
    <s v="Odd"/>
    <n v="2024"/>
    <n v="10"/>
    <n v="3"/>
    <n v="6"/>
    <n v="6"/>
    <n v="12"/>
    <x v="2"/>
  </r>
  <r>
    <s v="FAC1036"/>
    <x v="35"/>
    <s v="ME"/>
    <x v="4"/>
    <s v="M.E."/>
    <n v="17"/>
    <s v="Odd"/>
    <n v="2023"/>
    <n v="10"/>
    <n v="4"/>
    <n v="6"/>
    <n v="4"/>
    <n v="10"/>
    <x v="0"/>
  </r>
  <r>
    <s v="FAC1037"/>
    <x v="36"/>
    <s v="EEE"/>
    <x v="1"/>
    <s v="Ph.D"/>
    <n v="7"/>
    <s v="Odd"/>
    <n v="2025"/>
    <n v="10"/>
    <n v="2"/>
    <n v="2"/>
    <n v="0"/>
    <n v="2"/>
    <x v="1"/>
  </r>
  <r>
    <s v="FAC1038"/>
    <x v="37"/>
    <s v="ME"/>
    <x v="4"/>
    <s v="MBA, Ph.D"/>
    <n v="20"/>
    <s v="Odd"/>
    <n v="2023"/>
    <n v="10"/>
    <n v="2"/>
    <n v="3"/>
    <n v="2"/>
    <n v="5"/>
    <x v="1"/>
  </r>
  <r>
    <s v="FAC1039"/>
    <x v="38"/>
    <s v="MCA"/>
    <x v="3"/>
    <s v="MBA, Ph.D"/>
    <n v="1"/>
    <s v="Even"/>
    <n v="2023"/>
    <n v="10"/>
    <n v="1"/>
    <n v="2"/>
    <n v="2"/>
    <n v="4"/>
    <x v="1"/>
  </r>
  <r>
    <s v="FAC1041"/>
    <x v="39"/>
    <s v="IT"/>
    <x v="0"/>
    <s v="M.Tech, Ph.D"/>
    <n v="25"/>
    <s v="Odd"/>
    <n v="2024"/>
    <n v="10"/>
    <n v="2"/>
    <n v="2"/>
    <n v="0"/>
    <n v="2"/>
    <x v="1"/>
  </r>
  <r>
    <s v="FAC1042"/>
    <x v="40"/>
    <s v="ME"/>
    <x v="1"/>
    <s v="B.Tech, M.Tech"/>
    <n v="10"/>
    <s v="Even"/>
    <n v="2025"/>
    <n v="10"/>
    <n v="3"/>
    <n v="5"/>
    <n v="4"/>
    <n v="9"/>
    <x v="1"/>
  </r>
  <r>
    <s v="FAC1044"/>
    <x v="41"/>
    <s v="IT"/>
    <x v="1"/>
    <s v="B.Tech, M.Tech"/>
    <n v="10"/>
    <s v="Even"/>
    <n v="2025"/>
    <n v="10"/>
    <n v="1"/>
    <n v="2"/>
    <n v="2"/>
    <n v="4"/>
    <x v="1"/>
  </r>
  <r>
    <s v="FAC1045"/>
    <x v="42"/>
    <s v="EEE"/>
    <x v="2"/>
    <s v="M.E."/>
    <n v="12"/>
    <s v="Odd"/>
    <n v="2024"/>
    <n v="8"/>
    <n v="0"/>
    <n v="0"/>
    <n v="0"/>
    <n v="0"/>
    <x v="1"/>
  </r>
  <r>
    <s v="FAC1046"/>
    <x v="43"/>
    <s v="MBA"/>
    <x v="3"/>
    <s v="Ph.D"/>
    <n v="27"/>
    <s v="Even"/>
    <n v="2025"/>
    <n v="10"/>
    <n v="0"/>
    <n v="0"/>
    <n v="0"/>
    <n v="0"/>
    <x v="1"/>
  </r>
  <r>
    <s v="FAC1048"/>
    <x v="44"/>
    <s v="IT"/>
    <x v="4"/>
    <s v="M.E."/>
    <n v="20"/>
    <s v="Even"/>
    <n v="2025"/>
    <n v="10"/>
    <n v="3"/>
    <n v="4"/>
    <n v="2"/>
    <n v="6"/>
    <x v="1"/>
  </r>
  <r>
    <s v="FAC1049"/>
    <x v="45"/>
    <s v="CSE"/>
    <x v="2"/>
    <s v="Ph.D"/>
    <n v="22"/>
    <s v="Even"/>
    <n v="2024"/>
    <n v="8"/>
    <n v="2"/>
    <n v="3"/>
    <n v="2"/>
    <n v="5"/>
    <x v="1"/>
  </r>
  <r>
    <s v="FAC1050"/>
    <x v="46"/>
    <s v="MBA"/>
    <x v="4"/>
    <s v="M.Sc, Ph.D"/>
    <n v="21"/>
    <s v="Odd"/>
    <n v="2025"/>
    <n v="10"/>
    <n v="3"/>
    <n v="4"/>
    <n v="2"/>
    <n v="6"/>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n v="4"/>
    <n v="3"/>
    <n v="75"/>
    <x v="0"/>
  </r>
  <r>
    <x v="1"/>
    <x v="1"/>
    <n v="4"/>
    <n v="1"/>
    <n v="25"/>
    <x v="1"/>
  </r>
  <r>
    <x v="2"/>
    <x v="1"/>
    <n v="5"/>
    <n v="2"/>
    <n v="40"/>
    <x v="1"/>
  </r>
  <r>
    <x v="3"/>
    <x v="0"/>
    <n v="5"/>
    <n v="3"/>
    <n v="60"/>
    <x v="0"/>
  </r>
  <r>
    <x v="4"/>
    <x v="2"/>
    <n v="4"/>
    <n v="2"/>
    <n v="50"/>
    <x v="0"/>
  </r>
  <r>
    <x v="5"/>
    <x v="1"/>
    <n v="4"/>
    <n v="2"/>
    <n v="50"/>
    <x v="0"/>
  </r>
  <r>
    <x v="6"/>
    <x v="2"/>
    <n v="5"/>
    <n v="6"/>
    <n v="120"/>
    <x v="2"/>
  </r>
  <r>
    <x v="7"/>
    <x v="2"/>
    <n v="5"/>
    <n v="3"/>
    <n v="60"/>
    <x v="0"/>
  </r>
  <r>
    <x v="8"/>
    <x v="2"/>
    <n v="5"/>
    <n v="3"/>
    <n v="60"/>
    <x v="0"/>
  </r>
  <r>
    <x v="9"/>
    <x v="3"/>
    <n v="5"/>
    <n v="4"/>
    <n v="80"/>
    <x v="0"/>
  </r>
  <r>
    <x v="10"/>
    <x v="2"/>
    <n v="4"/>
    <n v="3"/>
    <n v="75"/>
    <x v="0"/>
  </r>
  <r>
    <x v="11"/>
    <x v="3"/>
    <n v="4"/>
    <n v="2"/>
    <n v="50"/>
    <x v="0"/>
  </r>
  <r>
    <x v="12"/>
    <x v="2"/>
    <n v="4"/>
    <n v="0"/>
    <n v="0"/>
    <x v="1"/>
  </r>
  <r>
    <x v="13"/>
    <x v="3"/>
    <n v="4"/>
    <n v="2"/>
    <n v="50"/>
    <x v="0"/>
  </r>
  <r>
    <x v="14"/>
    <x v="1"/>
    <n v="4"/>
    <n v="2"/>
    <n v="50"/>
    <x v="0"/>
  </r>
  <r>
    <x v="15"/>
    <x v="2"/>
    <n v="5"/>
    <n v="1"/>
    <n v="20"/>
    <x v="1"/>
  </r>
  <r>
    <x v="16"/>
    <x v="0"/>
    <n v="5"/>
    <n v="1"/>
    <n v="20"/>
    <x v="1"/>
  </r>
  <r>
    <x v="17"/>
    <x v="0"/>
    <n v="4"/>
    <n v="1"/>
    <n v="25"/>
    <x v="1"/>
  </r>
  <r>
    <x v="18"/>
    <x v="2"/>
    <n v="5"/>
    <n v="1"/>
    <n v="20"/>
    <x v="1"/>
  </r>
  <r>
    <x v="19"/>
    <x v="1"/>
    <n v="5"/>
    <n v="4"/>
    <n v="80"/>
    <x v="0"/>
  </r>
  <r>
    <x v="20"/>
    <x v="0"/>
    <n v="4"/>
    <n v="3"/>
    <n v="75"/>
    <x v="0"/>
  </r>
  <r>
    <x v="21"/>
    <x v="2"/>
    <n v="5"/>
    <n v="4"/>
    <n v="80"/>
    <x v="0"/>
  </r>
  <r>
    <x v="22"/>
    <x v="0"/>
    <n v="4"/>
    <n v="1"/>
    <n v="25"/>
    <x v="1"/>
  </r>
  <r>
    <x v="23"/>
    <x v="1"/>
    <n v="5"/>
    <n v="4"/>
    <n v="80"/>
    <x v="0"/>
  </r>
  <r>
    <x v="24"/>
    <x v="1"/>
    <n v="5"/>
    <n v="2"/>
    <n v="40"/>
    <x v="1"/>
  </r>
  <r>
    <x v="25"/>
    <x v="0"/>
    <n v="4"/>
    <n v="6"/>
    <n v="150"/>
    <x v="2"/>
  </r>
  <r>
    <x v="26"/>
    <x v="3"/>
    <n v="5"/>
    <n v="5"/>
    <n v="100"/>
    <x v="0"/>
  </r>
  <r>
    <x v="27"/>
    <x v="3"/>
    <n v="4"/>
    <n v="3"/>
    <n v="75"/>
    <x v="0"/>
  </r>
  <r>
    <x v="28"/>
    <x v="2"/>
    <n v="5"/>
    <n v="2"/>
    <n v="40"/>
    <x v="1"/>
  </r>
  <r>
    <x v="29"/>
    <x v="1"/>
    <n v="5"/>
    <n v="1"/>
    <n v="20"/>
    <x v="1"/>
  </r>
  <r>
    <x v="30"/>
    <x v="1"/>
    <n v="4"/>
    <n v="4"/>
    <n v="100"/>
    <x v="0"/>
  </r>
  <r>
    <x v="31"/>
    <x v="1"/>
    <n v="4"/>
    <n v="3"/>
    <n v="75"/>
    <x v="0"/>
  </r>
  <r>
    <x v="32"/>
    <x v="1"/>
    <n v="4"/>
    <n v="0"/>
    <n v="0"/>
    <x v="1"/>
  </r>
  <r>
    <x v="33"/>
    <x v="0"/>
    <n v="4"/>
    <n v="3"/>
    <n v="75"/>
    <x v="0"/>
  </r>
  <r>
    <x v="34"/>
    <x v="3"/>
    <n v="5"/>
    <n v="2"/>
    <n v="40"/>
    <x v="1"/>
  </r>
  <r>
    <x v="35"/>
    <x v="1"/>
    <n v="4"/>
    <n v="1"/>
    <n v="25"/>
    <x v="1"/>
  </r>
  <r>
    <x v="36"/>
    <x v="1"/>
    <n v="4"/>
    <n v="1"/>
    <n v="25"/>
    <x v="1"/>
  </r>
  <r>
    <x v="37"/>
    <x v="1"/>
    <n v="5"/>
    <n v="1"/>
    <n v="20"/>
    <x v="1"/>
  </r>
  <r>
    <x v="38"/>
    <x v="1"/>
    <n v="5"/>
    <n v="0"/>
    <n v="0"/>
    <x v="1"/>
  </r>
  <r>
    <x v="39"/>
    <x v="0"/>
    <n v="4"/>
    <n v="1"/>
    <n v="2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AD812B-06FA-4856-936B-CBFAAC7DA36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rowHeaderCaption="Subjects">
  <location ref="A3:B38" firstHeaderRow="1" firstDataRow="1" firstDataCol="1"/>
  <pivotFields count="15">
    <pivotField showAll="0"/>
    <pivotField showAll="0">
      <items count="11">
        <item x="3"/>
        <item x="0"/>
        <item x="2"/>
        <item x="5"/>
        <item x="1"/>
        <item x="4"/>
        <item x="7"/>
        <item x="6"/>
        <item m="1" x="9"/>
        <item m="1" x="8"/>
        <item t="default"/>
      </items>
    </pivotField>
    <pivotField showAll="0"/>
    <pivotField showAll="0">
      <items count="10">
        <item x="1"/>
        <item x="4"/>
        <item x="0"/>
        <item x="3"/>
        <item x="5"/>
        <item x="7"/>
        <item x="6"/>
        <item x="2"/>
        <item m="1" x="8"/>
        <item t="default"/>
      </items>
    </pivotField>
    <pivotField showAll="0"/>
    <pivotField axis="axisRow" dataField="1" showAll="0">
      <items count="36">
        <item x="10"/>
        <item x="0"/>
        <item x="26"/>
        <item x="20"/>
        <item x="2"/>
        <item x="19"/>
        <item x="7"/>
        <item x="32"/>
        <item x="25"/>
        <item x="28"/>
        <item x="29"/>
        <item x="15"/>
        <item x="11"/>
        <item x="3"/>
        <item x="16"/>
        <item x="5"/>
        <item x="1"/>
        <item x="9"/>
        <item x="8"/>
        <item x="14"/>
        <item x="21"/>
        <item x="6"/>
        <item x="30"/>
        <item x="4"/>
        <item x="12"/>
        <item x="33"/>
        <item x="17"/>
        <item x="13"/>
        <item x="27"/>
        <item x="23"/>
        <item x="24"/>
        <item x="18"/>
        <item x="22"/>
        <item x="31"/>
        <item m="1" x="34"/>
        <item t="default"/>
      </items>
    </pivotField>
    <pivotField showAll="0"/>
    <pivotField showAll="0"/>
    <pivotField showAll="0"/>
    <pivotField showAll="0"/>
    <pivotField showAll="0"/>
    <pivotField showAll="0"/>
    <pivotField showAll="0"/>
    <pivotField showAll="0"/>
    <pivotField showAll="0"/>
  </pivotFields>
  <rowFields count="1">
    <field x="5"/>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Classes" fld="5" subtotal="count" baseField="5" baseItem="0"/>
  </dataFields>
  <chartFormats count="2">
    <chartFormat chart="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6BE024-2057-47BA-AB78-7E13F50704C6}" name="PivotTable1" cacheId="2" applyNumberFormats="0" applyBorderFormats="0" applyFontFormats="0" applyPatternFormats="0" applyAlignmentFormats="0" applyWidthHeightFormats="1" dataCaption="Values" grandTotalCaption="Max Util %" updatedVersion="8" minRefreshableVersion="3" useAutoFormatting="1" itemPrintTitles="1" createdVersion="8" indent="0" outline="1" outlineData="1" multipleFieldFilters="0" chartFormat="7">
  <location ref="I3:J44" firstHeaderRow="1" firstDataRow="1" firstDataCol="1"/>
  <pivotFields count="6">
    <pivotField axis="axisRow" showAl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items count="5">
        <item x="3"/>
        <item x="1"/>
        <item x="0"/>
        <item x="2"/>
        <item t="default"/>
      </items>
    </pivotField>
    <pivotField showAll="0"/>
    <pivotField showAll="0"/>
    <pivotField dataField="1" showAll="0"/>
    <pivotField showAll="0">
      <items count="4">
        <item x="2"/>
        <item x="0"/>
        <item x="1"/>
        <item t="default"/>
      </items>
    </pivotField>
  </pivotFields>
  <rowFields count="1">
    <field x="0"/>
  </rowFields>
  <row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Items count="1">
    <i/>
  </colItems>
  <dataFields count="1">
    <dataField name="Max of Utilisation %" fld="4" subtotal="max"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2EEAF5-E1E3-49A5-A984-389213970032}" name="PivotTable3" cacheId="1" applyNumberFormats="0" applyBorderFormats="0" applyFontFormats="0" applyPatternFormats="0" applyAlignmentFormats="0" applyWidthHeightFormats="1" dataCaption="Values" grandTotalCaption="Total Contact Hours" updatedVersion="8" minRefreshableVersion="3" useAutoFormatting="1" itemPrintTitles="1" createdVersion="8" indent="0" outline="1" outlineData="1" multipleFieldFilters="0" chartFormat="15">
  <location ref="E3:F51" firstHeaderRow="1" firstDataRow="1" firstDataCol="1"/>
  <pivotFields count="14">
    <pivotField showAll="0"/>
    <pivotField axis="axisRow" showAll="0">
      <items count="48">
        <item x="13"/>
        <item x="21"/>
        <item x="40"/>
        <item x="7"/>
        <item x="31"/>
        <item x="38"/>
        <item x="25"/>
        <item x="23"/>
        <item x="45"/>
        <item x="18"/>
        <item x="27"/>
        <item x="34"/>
        <item x="16"/>
        <item x="19"/>
        <item x="29"/>
        <item x="4"/>
        <item x="14"/>
        <item x="26"/>
        <item x="6"/>
        <item x="15"/>
        <item x="1"/>
        <item x="42"/>
        <item x="22"/>
        <item x="36"/>
        <item x="37"/>
        <item x="30"/>
        <item x="32"/>
        <item x="43"/>
        <item x="28"/>
        <item x="44"/>
        <item x="8"/>
        <item x="2"/>
        <item x="10"/>
        <item x="5"/>
        <item x="9"/>
        <item x="17"/>
        <item x="0"/>
        <item x="24"/>
        <item x="33"/>
        <item x="41"/>
        <item x="20"/>
        <item x="3"/>
        <item x="46"/>
        <item x="39"/>
        <item x="35"/>
        <item x="12"/>
        <item x="11"/>
        <item t="default"/>
      </items>
    </pivotField>
    <pivotField showAll="0"/>
    <pivotField showAll="0">
      <items count="6">
        <item x="1"/>
        <item x="4"/>
        <item x="3"/>
        <item x="2"/>
        <item x="0"/>
        <item t="default"/>
      </items>
    </pivotField>
    <pivotField showAll="0"/>
    <pivotField showAll="0"/>
    <pivotField showAll="0"/>
    <pivotField showAll="0"/>
    <pivotField showAll="0"/>
    <pivotField showAll="0"/>
    <pivotField showAll="0"/>
    <pivotField showAll="0"/>
    <pivotField dataField="1" showAll="0"/>
    <pivotField showAll="0">
      <items count="4">
        <item x="0"/>
        <item x="2"/>
        <item x="1"/>
        <item t="default"/>
      </items>
    </pivotField>
  </pivotFields>
  <rowFields count="1">
    <field x="1"/>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t="grand">
      <x/>
    </i>
  </rowItems>
  <colItems count="1">
    <i/>
  </colItems>
  <dataFields count="1">
    <dataField name="Sum of Total Contact Hours" fld="12" baseField="1" baseItem="3"/>
  </dataFields>
  <chartFormats count="2">
    <chartFormat chart="0" format="0"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CCADF7D5-A5BD-420F-9DF5-13CF36E9D35F}" sourceName="Department">
  <pivotTables>
    <pivotTable tabId="11" name="PivotTable2"/>
  </pivotTables>
  <data>
    <tabular pivotCacheId="599586842">
      <items count="9">
        <i x="1" s="1"/>
        <i x="4" s="1"/>
        <i x="0" s="1"/>
        <i x="3" s="1"/>
        <i x="5" s="1"/>
        <i x="7" s="1"/>
        <i x="6" s="1"/>
        <i x="2" s="1"/>
        <i x="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ation" xr10:uid="{9872A1BA-5D84-4DE1-B78F-E9A36B3D330C}" sourceName="Designation">
  <pivotTables>
    <pivotTable tabId="11" name="PivotTable3"/>
  </pivotTables>
  <data>
    <tabular pivotCacheId="1349074060">
      <items count="5">
        <i x="1" s="1"/>
        <i x="4" s="1"/>
        <i x="3"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load_Status" xr10:uid="{430B8DCC-4241-4840-9C9E-F3A5E65796BE}" sourceName="Workload Status">
  <pivotTables>
    <pivotTable tabId="11" name="PivotTable3"/>
  </pivotTables>
  <data>
    <tabular pivotCacheId="1349074060">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B0625A79-D060-4062-BD9D-A8F16E5AC30A}" sourceName="Day">
  <pivotTables>
    <pivotTable tabId="11" name="PivotTable2"/>
  </pivotTables>
  <data>
    <tabular pivotCacheId="599586842">
      <items count="10">
        <i x="3" s="1"/>
        <i x="0" s="1"/>
        <i x="2" s="1"/>
        <i x="5" s="1"/>
        <i x="1" s="1"/>
        <i x="4" s="1"/>
        <i x="7" s="1"/>
        <i x="6" s="1"/>
        <i x="9" s="1" nd="1"/>
        <i x="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Type" xr10:uid="{19BA1636-BA76-40C5-98F8-E1B877A89891}" sourceName="Room Type">
  <pivotTables>
    <pivotTable tabId="11" name="PivotTable1"/>
  </pivotTables>
  <data>
    <tabular pivotCacheId="656787078">
      <items count="4">
        <i x="3" s="1"/>
        <i x="1" s="1"/>
        <i x="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sation_Status" xr10:uid="{90A708D0-6143-4704-A608-11B54E0E54C4}" sourceName="Utilisation Status">
  <pivotTables>
    <pivotTable tabId="11" name="PivotTable1"/>
  </pivotTables>
  <data>
    <tabular pivotCacheId="656787078">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2" xr10:uid="{DF8016B8-37E5-41B6-B600-3E30275AD010}" cache="Slicer_Department" caption="Department" rowHeight="234950"/>
  <slicer name="Designation 2" xr10:uid="{9413C52F-D4AD-4646-B5BB-4DBCE0E74641}" cache="Slicer_Designation" caption="Designation" rowHeight="234950"/>
  <slicer name="Workload Status 2" xr10:uid="{5EA8B78A-92C3-47B7-A8A5-90C965C81418}" cache="Slicer_Workload_Status" caption="Workload Status" rowHeight="234950"/>
  <slicer name="Day 2" xr10:uid="{0027D5FC-E611-41F2-8A9F-969A00AF16C1}" cache="Slicer_Day" caption="Day" rowHeight="234950"/>
  <slicer name="Room Type" xr10:uid="{126737A8-EFED-4DAB-BEF4-542512763081}" cache="Slicer_Room_Type" caption="Room Type" rowHeight="234950"/>
  <slicer name="Utilisation Status" xr10:uid="{A52F759E-C363-4769-9851-7A34A7832E0C}" cache="Slicer_Utilisation_Status" caption="Utilisation Status"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70E366-4879-4724-A40C-103A4CE1D9A7}" name="Table6" displayName="Table6" ref="A1:O94" totalsRowShown="0">
  <autoFilter ref="A1:O94" xr:uid="{6570E366-4879-4724-A40C-103A4CE1D9A7}"/>
  <tableColumns count="15">
    <tableColumn id="1" xr3:uid="{D629804C-A834-431D-863E-D182900B434D}" name="Slot ID" dataDxfId="40"/>
    <tableColumn id="2" xr3:uid="{9676B227-E209-4544-97C1-F96C3BF558EA}" name="Day" dataDxfId="39"/>
    <tableColumn id="3" xr3:uid="{CCF44F6F-637E-4057-8C33-300729802453}" name="Time Slot" dataDxfId="38"/>
    <tableColumn id="4" xr3:uid="{7CD61DCD-00FC-4AF9-A488-2F6A68A05F5C}" name="Department" dataDxfId="37"/>
    <tableColumn id="5" xr3:uid="{AC0DD69B-6214-4775-8223-2C843B2EE7BC}" name="Subject Code" dataDxfId="36"/>
    <tableColumn id="6" xr3:uid="{82C60957-B3D1-4C8F-A76E-860F89F93BD3}" name="Subject Name" dataDxfId="35"/>
    <tableColumn id="7" xr3:uid="{7753975F-AC9F-4239-8CAC-E2272CAECF14}" name="Faculty ID" dataDxfId="34"/>
    <tableColumn id="8" xr3:uid="{5DB9CAA6-33FB-4A84-BE02-7A938F23383F}" name="Room ID" dataDxfId="33"/>
    <tableColumn id="9" xr3:uid="{57E75476-9F03-4BCA-99A9-C0B10FCD5E49}" name="Room Type" dataDxfId="32">
      <calculatedColumnFormula>_xlfn.XLOOKUP(Table6[[#This Row],[Room ID]],Table4[Room ID],Table4[Room Type])</calculatedColumnFormula>
    </tableColumn>
    <tableColumn id="10" xr3:uid="{5EFEA5FD-2CFB-496E-B90B-3272B405FBEA}" name="Batch" dataDxfId="31"/>
    <tableColumn id="11" xr3:uid="{38FFA9BF-89D4-41AC-A775-BC5CBEC4B9D9}" name="Semester" dataDxfId="30"/>
    <tableColumn id="12" xr3:uid="{736E67BF-CA5B-488F-BB34-212FD3266481}" name="Section" dataDxfId="29"/>
    <tableColumn id="13" xr3:uid="{3E9F5D75-4D1B-4ADD-BF0D-BFAC54B1714C}" name="Duration (hrs)" dataDxfId="28"/>
    <tableColumn id="14" xr3:uid="{03CBF36A-0C91-4617-A855-4750B18D9089}" name="Is Lab" dataDxfId="27"/>
    <tableColumn id="15" xr3:uid="{B052FDE8-72C6-48DF-B0FD-5AFB3AFB1F55}" name="Conflict Flag" dataDxfId="26">
      <calculatedColumnFormula>IF(COUNTIFS(Table6[Day],Table6[[#This Row],[Day]],Table6[Time Slot],Table6[[#This Row],[Time Slot]],Table6[Faculty ID],Table6[[#This Row],[Faculty ID]])&gt;1,"Conflict","No Conflict")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EBF74C-D238-4D09-9E94-2027C74A177C}" name="Table1" displayName="Table1" ref="A1:N48" totalsRowShown="0">
  <autoFilter ref="A1:N48" xr:uid="{A6EBF74C-D238-4D09-9E94-2027C74A177C}"/>
  <tableColumns count="14">
    <tableColumn id="1" xr3:uid="{EC171912-DEC3-4305-91B5-FCC95A18C98D}" name="Faculty ID" dataDxfId="21"/>
    <tableColumn id="2" xr3:uid="{4FC3EDE3-CB07-4F65-B380-19EF949CDE3A}" name="Faculty Name" dataDxfId="20"/>
    <tableColumn id="3" xr3:uid="{96F471D0-AD74-414A-BB53-3A4FCEE7649F}" name="Department" dataDxfId="19"/>
    <tableColumn id="4" xr3:uid="{CF4C500B-26CA-4C09-AD8C-F1F860F199F6}" name="Designation" dataDxfId="18"/>
    <tableColumn id="5" xr3:uid="{EBCFF973-A80C-4CE1-A11B-88CAAEF770C7}" name="Qualification" dataDxfId="17"/>
    <tableColumn id="6" xr3:uid="{F669D553-CC2B-41F6-A013-5318972284E7}" name="Experience (yrs)" dataDxfId="16"/>
    <tableColumn id="7" xr3:uid="{16ACFA6F-E692-46A7-A329-B406354362B3}" name="Semester" dataDxfId="15"/>
    <tableColumn id="17" xr3:uid="{3F1572E6-2CF3-4038-BBB7-BA40292E30B0}" name="Academic Year" dataDxfId="14"/>
    <tableColumn id="14" xr3:uid="{70DDA49F-86B2-4149-A336-DC8CA1BA5DD0}" name="Max Allowed Hours" dataDxfId="13"/>
    <tableColumn id="10" xr3:uid="{9F21573A-F5DA-44A3-9799-DC37A2C437F4}" name="Subjects Assigned" dataDxfId="12">
      <calculatedColumnFormula>COUNTIF(Table6[Faculty ID],Table1[[#This Row],[Faculty ID]])</calculatedColumnFormula>
    </tableColumn>
    <tableColumn id="11" xr3:uid="{A9E38AB1-E9CD-481E-A326-015EE0648EC9}" name="Theory hrs/wk" dataDxfId="11">
      <calculatedColumnFormula>SUMIF(Table6[Faculty ID],Table1[[#This Row],[Faculty ID]],Table6[Duration (hrs)])</calculatedColumnFormula>
    </tableColumn>
    <tableColumn id="12" xr3:uid="{89C7403E-225B-440E-AF3A-A60BFD748C5C}" name=" Lab hrs/wk" dataDxfId="10">
      <calculatedColumnFormula>SUMIFS(Table6[Duration (hrs)],Table6[Faculty ID],Table1[[#This Row],[Faculty ID]],Table6[Is Lab],"Yes")</calculatedColumnFormula>
    </tableColumn>
    <tableColumn id="15" xr3:uid="{35362A7C-3FCC-44B6-8B21-27A5BC015634}" name="Total Contact Hours" dataDxfId="9">
      <calculatedColumnFormula>Table1[[#This Row],[Theory hrs/wk]]+Table1[[#This Row],[ Lab hrs/wk]]</calculatedColumnFormula>
    </tableColumn>
    <tableColumn id="16" xr3:uid="{8C5B5CBF-3394-4F9A-863B-4B6C27F509A6}" name="Workload Status" dataDxfId="8">
      <calculatedColumnFormula>IF(Table1[[#This Row],[Total Contact Hours]]&gt;Table1[[#This Row],[Max Allowed Hours]],"Overloaded",IF(Table1[[#This Row],[Total Contact Hours]]=Table1[[#This Row],[Max Allowed Hours]],"Normal","Underloaded"))</calculatedColumnFormula>
    </tableColumn>
  </tableColumns>
  <tableStyleInfo name="TableStyleMedium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F4D700-D1E0-47E1-9C9E-2E4CF4A45ECB}" name="Table4" displayName="Table4" ref="A1:F41" totalsRowShown="0">
  <autoFilter ref="A1:F41" xr:uid="{57F4D700-D1E0-47E1-9C9E-2E4CF4A45ECB}"/>
  <tableColumns count="6">
    <tableColumn id="1" xr3:uid="{182B8D6D-57BE-492F-A7CE-F8481D161997}" name="Room ID" dataDxfId="5"/>
    <tableColumn id="2" xr3:uid="{A2AF4A87-B383-4162-8180-EDAEB6BFD255}" name="Room Type" dataDxfId="4"/>
    <tableColumn id="3" xr3:uid="{2C288051-FDC1-4432-A29E-99578D3342B3}" name="Available slots/wk" dataDxfId="3"/>
    <tableColumn id="4" xr3:uid="{B58AB5B2-E551-4900-9386-440BE6C4865B}" name="Utilised slots/wk" dataDxfId="2">
      <calculatedColumnFormula>COUNTIF(Table6[Room ID],Table4[[#This Row],[Room ID]])</calculatedColumnFormula>
    </tableColumn>
    <tableColumn id="5" xr3:uid="{DE365E77-51C4-461F-AD5A-CB0F74A9A51C}" name="Utilisation %" dataDxfId="1">
      <calculatedColumnFormula>Table4[[#This Row],[Utilised slots/wk]]/Table4[[#This Row],[Available slots/wk]]*100</calculatedColumnFormula>
    </tableColumn>
    <tableColumn id="6" xr3:uid="{DB0645C9-C831-4A51-916D-8C00235D06EE}" name="Utilisation Status" dataDxfId="0">
      <calculatedColumnFormula>IF(Table4[[#This Row],[Utilisation %]]&lt;50,"Underutilised",IF(Table4[[#This Row],[Utilisation %]]&lt;=100,"Properly utilised","Overutilised"))</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DB753-E2E3-4046-A41A-BE2819D04B69}">
  <sheetPr codeName="Sheet1"/>
  <dimension ref="A1:O34"/>
  <sheetViews>
    <sheetView showGridLines="0" tabSelected="1" zoomScale="71" zoomScaleNormal="85" workbookViewId="0">
      <selection activeCell="Q14" sqref="Q14"/>
    </sheetView>
  </sheetViews>
  <sheetFormatPr defaultRowHeight="14.4" x14ac:dyDescent="0.3"/>
  <sheetData>
    <row r="1" spans="1:15" x14ac:dyDescent="0.3">
      <c r="A1" s="70" t="s">
        <v>570</v>
      </c>
      <c r="B1" s="70"/>
      <c r="C1" s="70"/>
      <c r="D1" s="70"/>
      <c r="E1" s="70"/>
      <c r="F1" s="70"/>
      <c r="G1" s="70"/>
      <c r="H1" s="70"/>
      <c r="I1" s="70"/>
      <c r="J1" s="70"/>
      <c r="K1" s="70"/>
      <c r="L1" s="70"/>
      <c r="M1" s="70"/>
      <c r="N1" s="70"/>
      <c r="O1" s="70"/>
    </row>
    <row r="2" spans="1:15" x14ac:dyDescent="0.3">
      <c r="A2" s="70"/>
      <c r="B2" s="70"/>
      <c r="C2" s="70"/>
      <c r="D2" s="70"/>
      <c r="E2" s="70"/>
      <c r="F2" s="70"/>
      <c r="G2" s="70"/>
      <c r="H2" s="70"/>
      <c r="I2" s="70"/>
      <c r="J2" s="70"/>
      <c r="K2" s="70"/>
      <c r="L2" s="70"/>
      <c r="M2" s="70"/>
      <c r="N2" s="70"/>
      <c r="O2" s="70"/>
    </row>
    <row r="3" spans="1:15" x14ac:dyDescent="0.3">
      <c r="A3" s="70"/>
      <c r="B3" s="70"/>
      <c r="C3" s="70"/>
      <c r="D3" s="70"/>
      <c r="E3" s="70"/>
      <c r="F3" s="70"/>
      <c r="G3" s="70"/>
      <c r="H3" s="70"/>
      <c r="I3" s="70"/>
      <c r="J3" s="70"/>
      <c r="K3" s="70"/>
      <c r="L3" s="70"/>
      <c r="M3" s="70"/>
      <c r="N3" s="70"/>
      <c r="O3" s="70"/>
    </row>
    <row r="4" spans="1:15" x14ac:dyDescent="0.3">
      <c r="A4" s="70"/>
      <c r="B4" s="70"/>
      <c r="C4" s="70"/>
      <c r="D4" s="70"/>
      <c r="E4" s="70"/>
      <c r="F4" s="70"/>
      <c r="G4" s="70"/>
      <c r="H4" s="70"/>
      <c r="I4" s="70"/>
      <c r="J4" s="70"/>
      <c r="K4" s="70"/>
      <c r="L4" s="70"/>
      <c r="M4" s="70"/>
      <c r="N4" s="70"/>
      <c r="O4" s="70"/>
    </row>
    <row r="5" spans="1:15" x14ac:dyDescent="0.3">
      <c r="A5" s="71" t="s">
        <v>583</v>
      </c>
      <c r="B5" s="71"/>
      <c r="C5" s="71"/>
      <c r="D5" s="71"/>
      <c r="E5" s="71"/>
      <c r="F5" s="71"/>
      <c r="G5" s="71"/>
      <c r="H5" s="71"/>
      <c r="I5" s="71"/>
      <c r="J5" s="71"/>
      <c r="K5" s="71"/>
      <c r="L5" s="71"/>
      <c r="M5" s="71"/>
      <c r="N5" s="71"/>
      <c r="O5" s="71"/>
    </row>
    <row r="6" spans="1:15" x14ac:dyDescent="0.3">
      <c r="A6" s="71"/>
      <c r="B6" s="71"/>
      <c r="C6" s="71"/>
      <c r="D6" s="71"/>
      <c r="E6" s="71"/>
      <c r="F6" s="71"/>
      <c r="G6" s="71"/>
      <c r="H6" s="71"/>
      <c r="I6" s="71"/>
      <c r="J6" s="71"/>
      <c r="K6" s="71"/>
      <c r="L6" s="71"/>
      <c r="M6" s="71"/>
      <c r="N6" s="71"/>
      <c r="O6" s="71"/>
    </row>
    <row r="7" spans="1:15" x14ac:dyDescent="0.3">
      <c r="A7" s="71"/>
      <c r="B7" s="71"/>
      <c r="C7" s="71"/>
      <c r="D7" s="71"/>
      <c r="E7" s="71"/>
      <c r="F7" s="71"/>
      <c r="G7" s="71"/>
      <c r="H7" s="71"/>
      <c r="I7" s="71"/>
      <c r="J7" s="71"/>
      <c r="K7" s="71"/>
      <c r="L7" s="71"/>
      <c r="M7" s="71"/>
      <c r="N7" s="71"/>
      <c r="O7" s="71"/>
    </row>
    <row r="8" spans="1:15" x14ac:dyDescent="0.3">
      <c r="A8" s="71" t="s">
        <v>584</v>
      </c>
      <c r="B8" s="71"/>
      <c r="C8" s="71"/>
      <c r="D8" s="71"/>
      <c r="E8" s="71"/>
      <c r="F8" s="71"/>
      <c r="G8" s="71"/>
      <c r="H8" s="71"/>
      <c r="I8" s="71"/>
      <c r="J8" s="71"/>
      <c r="K8" s="71"/>
      <c r="L8" s="71"/>
      <c r="M8" s="71"/>
      <c r="N8" s="71"/>
      <c r="O8" s="71"/>
    </row>
    <row r="9" spans="1:15" x14ac:dyDescent="0.3">
      <c r="A9" s="71"/>
      <c r="B9" s="71"/>
      <c r="C9" s="71"/>
      <c r="D9" s="71"/>
      <c r="E9" s="71"/>
      <c r="F9" s="71"/>
      <c r="G9" s="71"/>
      <c r="H9" s="71"/>
      <c r="I9" s="71"/>
      <c r="J9" s="71"/>
      <c r="K9" s="71"/>
      <c r="L9" s="71"/>
      <c r="M9" s="71"/>
      <c r="N9" s="71"/>
      <c r="O9" s="71"/>
    </row>
    <row r="10" spans="1:15" x14ac:dyDescent="0.3">
      <c r="A10" s="71"/>
      <c r="B10" s="71"/>
      <c r="C10" s="71"/>
      <c r="D10" s="71"/>
      <c r="E10" s="71"/>
      <c r="F10" s="71"/>
      <c r="G10" s="71"/>
      <c r="H10" s="71"/>
      <c r="I10" s="71"/>
      <c r="J10" s="71"/>
      <c r="K10" s="71"/>
      <c r="L10" s="71"/>
      <c r="M10" s="71"/>
      <c r="N10" s="71"/>
      <c r="O10" s="71"/>
    </row>
    <row r="11" spans="1:15" x14ac:dyDescent="0.3">
      <c r="A11" s="71" t="s">
        <v>585</v>
      </c>
      <c r="B11" s="71"/>
      <c r="C11" s="71"/>
      <c r="D11" s="71"/>
      <c r="E11" s="71"/>
      <c r="F11" s="71"/>
      <c r="G11" s="71"/>
      <c r="H11" s="71"/>
      <c r="I11" s="71"/>
      <c r="J11" s="71"/>
      <c r="K11" s="71"/>
      <c r="L11" s="71"/>
      <c r="M11" s="71"/>
      <c r="N11" s="71"/>
      <c r="O11" s="71"/>
    </row>
    <row r="12" spans="1:15" x14ac:dyDescent="0.3">
      <c r="A12" s="71"/>
      <c r="B12" s="71"/>
      <c r="C12" s="71"/>
      <c r="D12" s="71"/>
      <c r="E12" s="71"/>
      <c r="F12" s="71"/>
      <c r="G12" s="71"/>
      <c r="H12" s="71"/>
      <c r="I12" s="71"/>
      <c r="J12" s="71"/>
      <c r="K12" s="71"/>
      <c r="L12" s="71"/>
      <c r="M12" s="71"/>
      <c r="N12" s="71"/>
      <c r="O12" s="71"/>
    </row>
    <row r="13" spans="1:15" x14ac:dyDescent="0.3">
      <c r="A13" s="71"/>
      <c r="B13" s="71"/>
      <c r="C13" s="71"/>
      <c r="D13" s="71"/>
      <c r="E13" s="71"/>
      <c r="F13" s="71"/>
      <c r="G13" s="71"/>
      <c r="H13" s="71"/>
      <c r="I13" s="71"/>
      <c r="J13" s="71"/>
      <c r="K13" s="71"/>
      <c r="L13" s="71"/>
      <c r="M13" s="71"/>
      <c r="N13" s="71"/>
      <c r="O13" s="71"/>
    </row>
    <row r="14" spans="1:15" x14ac:dyDescent="0.3">
      <c r="A14" s="71" t="s">
        <v>586</v>
      </c>
      <c r="B14" s="71"/>
      <c r="C14" s="71"/>
      <c r="D14" s="71"/>
      <c r="E14" s="71"/>
      <c r="F14" s="71"/>
      <c r="G14" s="71"/>
      <c r="H14" s="71"/>
      <c r="I14" s="71"/>
      <c r="J14" s="71"/>
      <c r="K14" s="71"/>
      <c r="L14" s="71"/>
      <c r="M14" s="71"/>
      <c r="N14" s="71"/>
      <c r="O14" s="71"/>
    </row>
    <row r="15" spans="1:15" x14ac:dyDescent="0.3">
      <c r="A15" s="71"/>
      <c r="B15" s="71"/>
      <c r="C15" s="71"/>
      <c r="D15" s="71"/>
      <c r="E15" s="71"/>
      <c r="F15" s="71"/>
      <c r="G15" s="71"/>
      <c r="H15" s="71"/>
      <c r="I15" s="71"/>
      <c r="J15" s="71"/>
      <c r="K15" s="71"/>
      <c r="L15" s="71"/>
      <c r="M15" s="71"/>
      <c r="N15" s="71"/>
      <c r="O15" s="71"/>
    </row>
    <row r="16" spans="1:15" x14ac:dyDescent="0.3">
      <c r="A16" s="71"/>
      <c r="B16" s="71"/>
      <c r="C16" s="71"/>
      <c r="D16" s="71"/>
      <c r="E16" s="71"/>
      <c r="F16" s="71"/>
      <c r="G16" s="71"/>
      <c r="H16" s="71"/>
      <c r="I16" s="71"/>
      <c r="J16" s="71"/>
      <c r="K16" s="71"/>
      <c r="L16" s="71"/>
      <c r="M16" s="71"/>
      <c r="N16" s="71"/>
      <c r="O16" s="71"/>
    </row>
    <row r="17" spans="1:15" x14ac:dyDescent="0.3">
      <c r="A17" s="71" t="s">
        <v>587</v>
      </c>
      <c r="B17" s="71"/>
      <c r="C17" s="71"/>
      <c r="D17" s="71"/>
      <c r="E17" s="71"/>
      <c r="F17" s="71"/>
      <c r="G17" s="71"/>
      <c r="H17" s="71"/>
      <c r="I17" s="71"/>
      <c r="J17" s="71"/>
      <c r="K17" s="71"/>
      <c r="L17" s="71"/>
      <c r="M17" s="71"/>
      <c r="N17" s="71"/>
      <c r="O17" s="71"/>
    </row>
    <row r="18" spans="1:15" x14ac:dyDescent="0.3">
      <c r="A18" s="71"/>
      <c r="B18" s="71"/>
      <c r="C18" s="71"/>
      <c r="D18" s="71"/>
      <c r="E18" s="71"/>
      <c r="F18" s="71"/>
      <c r="G18" s="71"/>
      <c r="H18" s="71"/>
      <c r="I18" s="71"/>
      <c r="J18" s="71"/>
      <c r="K18" s="71"/>
      <c r="L18" s="71"/>
      <c r="M18" s="71"/>
      <c r="N18" s="71"/>
      <c r="O18" s="71"/>
    </row>
    <row r="19" spans="1:15" x14ac:dyDescent="0.3">
      <c r="A19" s="71"/>
      <c r="B19" s="71"/>
      <c r="C19" s="71"/>
      <c r="D19" s="71"/>
      <c r="E19" s="71"/>
      <c r="F19" s="71"/>
      <c r="G19" s="71"/>
      <c r="H19" s="71"/>
      <c r="I19" s="71"/>
      <c r="J19" s="71"/>
      <c r="K19" s="71"/>
      <c r="L19" s="71"/>
      <c r="M19" s="71"/>
      <c r="N19" s="71"/>
      <c r="O19" s="71"/>
    </row>
    <row r="20" spans="1:15" x14ac:dyDescent="0.3">
      <c r="A20" s="71" t="s">
        <v>588</v>
      </c>
      <c r="B20" s="71"/>
      <c r="C20" s="71"/>
      <c r="D20" s="71"/>
      <c r="E20" s="71"/>
      <c r="F20" s="71"/>
      <c r="G20" s="71"/>
      <c r="H20" s="71"/>
      <c r="I20" s="71"/>
      <c r="J20" s="71"/>
      <c r="K20" s="71"/>
      <c r="L20" s="71"/>
      <c r="M20" s="71"/>
      <c r="N20" s="71"/>
      <c r="O20" s="71"/>
    </row>
    <row r="21" spans="1:15" x14ac:dyDescent="0.3">
      <c r="A21" s="71"/>
      <c r="B21" s="71"/>
      <c r="C21" s="71"/>
      <c r="D21" s="71"/>
      <c r="E21" s="71"/>
      <c r="F21" s="71"/>
      <c r="G21" s="71"/>
      <c r="H21" s="71"/>
      <c r="I21" s="71"/>
      <c r="J21" s="71"/>
      <c r="K21" s="71"/>
      <c r="L21" s="71"/>
      <c r="M21" s="71"/>
      <c r="N21" s="71"/>
      <c r="O21" s="71"/>
    </row>
    <row r="22" spans="1:15" x14ac:dyDescent="0.3">
      <c r="A22" s="71"/>
      <c r="B22" s="71"/>
      <c r="C22" s="71"/>
      <c r="D22" s="71"/>
      <c r="E22" s="71"/>
      <c r="F22" s="71"/>
      <c r="G22" s="71"/>
      <c r="H22" s="71"/>
      <c r="I22" s="71"/>
      <c r="J22" s="71"/>
      <c r="K22" s="71"/>
      <c r="L22" s="71"/>
      <c r="M22" s="71"/>
      <c r="N22" s="71"/>
      <c r="O22" s="71"/>
    </row>
    <row r="23" spans="1:15" x14ac:dyDescent="0.3">
      <c r="A23" s="71" t="s">
        <v>589</v>
      </c>
      <c r="B23" s="71"/>
      <c r="C23" s="71"/>
      <c r="D23" s="71"/>
      <c r="E23" s="71"/>
      <c r="F23" s="71"/>
      <c r="G23" s="71"/>
      <c r="H23" s="71"/>
      <c r="I23" s="71"/>
      <c r="J23" s="71"/>
      <c r="K23" s="71"/>
      <c r="L23" s="71"/>
      <c r="M23" s="71"/>
      <c r="N23" s="71"/>
      <c r="O23" s="71"/>
    </row>
    <row r="24" spans="1:15" x14ac:dyDescent="0.3">
      <c r="A24" s="71"/>
      <c r="B24" s="71"/>
      <c r="C24" s="71"/>
      <c r="D24" s="71"/>
      <c r="E24" s="71"/>
      <c r="F24" s="71"/>
      <c r="G24" s="71"/>
      <c r="H24" s="71"/>
      <c r="I24" s="71"/>
      <c r="J24" s="71"/>
      <c r="K24" s="71"/>
      <c r="L24" s="71"/>
      <c r="M24" s="71"/>
      <c r="N24" s="71"/>
      <c r="O24" s="71"/>
    </row>
    <row r="25" spans="1:15" x14ac:dyDescent="0.3">
      <c r="A25" s="71"/>
      <c r="B25" s="71"/>
      <c r="C25" s="71"/>
      <c r="D25" s="71"/>
      <c r="E25" s="71"/>
      <c r="F25" s="71"/>
      <c r="G25" s="71"/>
      <c r="H25" s="71"/>
      <c r="I25" s="71"/>
      <c r="J25" s="71"/>
      <c r="K25" s="71"/>
      <c r="L25" s="71"/>
      <c r="M25" s="71"/>
      <c r="N25" s="71"/>
      <c r="O25" s="71"/>
    </row>
    <row r="26" spans="1:15" x14ac:dyDescent="0.3">
      <c r="A26" s="71" t="s">
        <v>590</v>
      </c>
      <c r="B26" s="71"/>
      <c r="C26" s="71"/>
      <c r="D26" s="71"/>
      <c r="E26" s="71"/>
      <c r="F26" s="71"/>
      <c r="G26" s="71"/>
      <c r="H26" s="71"/>
      <c r="I26" s="71"/>
      <c r="J26" s="71"/>
      <c r="K26" s="71"/>
      <c r="L26" s="71"/>
      <c r="M26" s="71"/>
      <c r="N26" s="71"/>
      <c r="O26" s="71"/>
    </row>
    <row r="27" spans="1:15" x14ac:dyDescent="0.3">
      <c r="A27" s="71"/>
      <c r="B27" s="71"/>
      <c r="C27" s="71"/>
      <c r="D27" s="71"/>
      <c r="E27" s="71"/>
      <c r="F27" s="71"/>
      <c r="G27" s="71"/>
      <c r="H27" s="71"/>
      <c r="I27" s="71"/>
      <c r="J27" s="71"/>
      <c r="K27" s="71"/>
      <c r="L27" s="71"/>
      <c r="M27" s="71"/>
      <c r="N27" s="71"/>
      <c r="O27" s="71"/>
    </row>
    <row r="28" spans="1:15" x14ac:dyDescent="0.3">
      <c r="A28" s="71"/>
      <c r="B28" s="71"/>
      <c r="C28" s="71"/>
      <c r="D28" s="71"/>
      <c r="E28" s="71"/>
      <c r="F28" s="71"/>
      <c r="G28" s="71"/>
      <c r="H28" s="71"/>
      <c r="I28" s="71"/>
      <c r="J28" s="71"/>
      <c r="K28" s="71"/>
      <c r="L28" s="71"/>
      <c r="M28" s="71"/>
      <c r="N28" s="71"/>
      <c r="O28" s="71"/>
    </row>
    <row r="29" spans="1:15" x14ac:dyDescent="0.3">
      <c r="A29" s="71" t="s">
        <v>591</v>
      </c>
      <c r="B29" s="71"/>
      <c r="C29" s="71"/>
      <c r="D29" s="71"/>
      <c r="E29" s="71"/>
      <c r="F29" s="71"/>
      <c r="G29" s="71"/>
      <c r="H29" s="71"/>
      <c r="I29" s="71"/>
      <c r="J29" s="71"/>
      <c r="K29" s="71"/>
      <c r="L29" s="71"/>
      <c r="M29" s="71"/>
      <c r="N29" s="71"/>
      <c r="O29" s="71"/>
    </row>
    <row r="30" spans="1:15" x14ac:dyDescent="0.3">
      <c r="A30" s="71"/>
      <c r="B30" s="71"/>
      <c r="C30" s="71"/>
      <c r="D30" s="71"/>
      <c r="E30" s="71"/>
      <c r="F30" s="71"/>
      <c r="G30" s="71"/>
      <c r="H30" s="71"/>
      <c r="I30" s="71"/>
      <c r="J30" s="71"/>
      <c r="K30" s="71"/>
      <c r="L30" s="71"/>
      <c r="M30" s="71"/>
      <c r="N30" s="71"/>
      <c r="O30" s="71"/>
    </row>
    <row r="31" spans="1:15" x14ac:dyDescent="0.3">
      <c r="A31" s="71"/>
      <c r="B31" s="71"/>
      <c r="C31" s="71"/>
      <c r="D31" s="71"/>
      <c r="E31" s="71"/>
      <c r="F31" s="71"/>
      <c r="G31" s="71"/>
      <c r="H31" s="71"/>
      <c r="I31" s="71"/>
      <c r="J31" s="71"/>
      <c r="K31" s="71"/>
      <c r="L31" s="71"/>
      <c r="M31" s="71"/>
      <c r="N31" s="71"/>
      <c r="O31" s="71"/>
    </row>
    <row r="32" spans="1:15" x14ac:dyDescent="0.3">
      <c r="A32" s="71" t="s">
        <v>592</v>
      </c>
      <c r="B32" s="71"/>
      <c r="C32" s="71"/>
      <c r="D32" s="71"/>
      <c r="E32" s="71"/>
      <c r="F32" s="71"/>
      <c r="G32" s="71"/>
      <c r="H32" s="71"/>
      <c r="I32" s="71"/>
      <c r="J32" s="71"/>
      <c r="K32" s="71"/>
      <c r="L32" s="71"/>
      <c r="M32" s="71"/>
      <c r="N32" s="71"/>
      <c r="O32" s="71"/>
    </row>
    <row r="33" spans="1:15" x14ac:dyDescent="0.3">
      <c r="A33" s="71"/>
      <c r="B33" s="71"/>
      <c r="C33" s="71"/>
      <c r="D33" s="71"/>
      <c r="E33" s="71"/>
      <c r="F33" s="71"/>
      <c r="G33" s="71"/>
      <c r="H33" s="71"/>
      <c r="I33" s="71"/>
      <c r="J33" s="71"/>
      <c r="K33" s="71"/>
      <c r="L33" s="71"/>
      <c r="M33" s="71"/>
      <c r="N33" s="71"/>
      <c r="O33" s="71"/>
    </row>
    <row r="34" spans="1:15" x14ac:dyDescent="0.3">
      <c r="A34" s="71"/>
      <c r="B34" s="71"/>
      <c r="C34" s="71"/>
      <c r="D34" s="71"/>
      <c r="E34" s="71"/>
      <c r="F34" s="71"/>
      <c r="G34" s="71"/>
      <c r="H34" s="71"/>
      <c r="I34" s="71"/>
      <c r="J34" s="71"/>
      <c r="K34" s="71"/>
      <c r="L34" s="71"/>
      <c r="M34" s="71"/>
      <c r="N34" s="71"/>
      <c r="O34" s="71"/>
    </row>
  </sheetData>
  <mergeCells count="11">
    <mergeCell ref="A32:O34"/>
    <mergeCell ref="A17:O19"/>
    <mergeCell ref="A20:O22"/>
    <mergeCell ref="A23:O25"/>
    <mergeCell ref="A26:O28"/>
    <mergeCell ref="A29:O31"/>
    <mergeCell ref="A1:O4"/>
    <mergeCell ref="A5:O7"/>
    <mergeCell ref="A8:O10"/>
    <mergeCell ref="A11:O13"/>
    <mergeCell ref="A14:O16"/>
  </mergeCells>
  <hyperlinks>
    <hyperlink ref="A5:O7" location="'Data Cleaning'!A1" display="1. Data Cleaning" xr:uid="{AD42D776-2321-48CA-BCD8-C610FD2238F3}"/>
    <hyperlink ref="A8:O10" location="'Timetable entry'!A1" display="2. Timetable Entry" xr:uid="{AC6534A2-CA56-4292-B223-68397F4A81F9}"/>
    <hyperlink ref="A11:O13" location="'Raw Timetable'!A1" display="3. Raw Timetable" xr:uid="{7C109402-5973-46D6-9A6E-E68362990847}"/>
    <hyperlink ref="A14:O16" location="'Clean Timetable'!A1" display="4. Clean Timetable" xr:uid="{4D106E07-48C2-409A-B393-CB0A9A892C19}"/>
    <hyperlink ref="A17:O19" location="'Raw Faculty Data'!A1" display="5. Raw Faculty Data " xr:uid="{25D89E8B-4229-48FC-8133-B4C5447A1AEB}"/>
    <hyperlink ref="A20:O22" location="'Clean Faculty Data &amp; Workload'!A1" display="6. Clean Faculty Data &amp; Workload" xr:uid="{7A84AB71-DA03-448A-9944-7CD9244F221B}"/>
    <hyperlink ref="A23:O25" location="'Raw Room Utilisation '!A1" display="7. Raw Room Utilisation" xr:uid="{2E7E09BF-7BEA-4301-AE96-25550385ACDB}"/>
    <hyperlink ref="A26:O28" location="'Modified Room Util'!A1" display="8. Modified Room Utilisation" xr:uid="{FEA9F689-FB6C-4AFE-BE1E-5870318B2C6D}"/>
    <hyperlink ref="A29:O31" location="'Pivot Tables'!A1" display="9. Pivot Tables" xr:uid="{807E7937-3A08-47C5-A48D-5300F21FEFF6}"/>
    <hyperlink ref="A32:O34" location="Dashboard!A1" display="10. Dashboard" xr:uid="{61CE8AE6-B0EE-44E7-99FD-7059C2213B15}"/>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9E38B-8D7B-4FDF-AFAC-65AA9A794DE6}">
  <sheetPr codeName="Sheet2"/>
  <dimension ref="D2:J11"/>
  <sheetViews>
    <sheetView showGridLines="0" topLeftCell="B1" zoomScale="130" zoomScaleNormal="130" workbookViewId="0">
      <selection activeCell="J2" sqref="J2"/>
    </sheetView>
  </sheetViews>
  <sheetFormatPr defaultRowHeight="14.4" x14ac:dyDescent="0.3"/>
  <cols>
    <col min="4" max="4" width="7.109375" bestFit="1" customWidth="1"/>
    <col min="5" max="5" width="29.33203125" bestFit="1" customWidth="1"/>
    <col min="6" max="6" width="46.33203125" bestFit="1" customWidth="1"/>
    <col min="7" max="7" width="26.44140625" bestFit="1" customWidth="1"/>
  </cols>
  <sheetData>
    <row r="2" spans="4:10" x14ac:dyDescent="0.3">
      <c r="D2" s="72" t="s">
        <v>629</v>
      </c>
      <c r="E2" s="72"/>
      <c r="F2" s="72"/>
      <c r="G2" s="72"/>
    </row>
    <row r="3" spans="4:10" x14ac:dyDescent="0.3">
      <c r="D3" s="72"/>
      <c r="E3" s="72"/>
      <c r="F3" s="72"/>
      <c r="G3" s="72"/>
    </row>
    <row r="4" spans="4:10" x14ac:dyDescent="0.3">
      <c r="D4" s="73"/>
      <c r="E4" s="73"/>
      <c r="F4" s="73"/>
      <c r="G4" s="73"/>
    </row>
    <row r="5" spans="4:10" x14ac:dyDescent="0.3">
      <c r="D5" s="37" t="s">
        <v>628</v>
      </c>
      <c r="E5" s="38" t="s">
        <v>607</v>
      </c>
      <c r="F5" s="38" t="s">
        <v>608</v>
      </c>
      <c r="G5" s="38" t="s">
        <v>609</v>
      </c>
    </row>
    <row r="6" spans="4:10" x14ac:dyDescent="0.3">
      <c r="D6" s="39">
        <v>1</v>
      </c>
      <c r="E6" s="40" t="s">
        <v>610</v>
      </c>
      <c r="F6" s="40" t="s">
        <v>611</v>
      </c>
      <c r="G6" s="40" t="s">
        <v>612</v>
      </c>
    </row>
    <row r="7" spans="4:10" x14ac:dyDescent="0.3">
      <c r="D7" s="39">
        <v>2</v>
      </c>
      <c r="E7" s="40" t="s">
        <v>613</v>
      </c>
      <c r="F7" s="40" t="s">
        <v>614</v>
      </c>
      <c r="G7" s="40" t="s">
        <v>615</v>
      </c>
      <c r="I7" s="66" t="s">
        <v>594</v>
      </c>
      <c r="J7" s="67"/>
    </row>
    <row r="8" spans="4:10" x14ac:dyDescent="0.3">
      <c r="D8" s="39">
        <v>3</v>
      </c>
      <c r="E8" s="41" t="s">
        <v>616</v>
      </c>
      <c r="F8" s="41" t="s">
        <v>617</v>
      </c>
      <c r="G8" s="41" t="s">
        <v>618</v>
      </c>
      <c r="I8" s="68"/>
      <c r="J8" s="69"/>
    </row>
    <row r="9" spans="4:10" x14ac:dyDescent="0.3">
      <c r="D9" s="39">
        <v>4</v>
      </c>
      <c r="E9" s="40" t="s">
        <v>619</v>
      </c>
      <c r="F9" s="40" t="s">
        <v>620</v>
      </c>
      <c r="G9" s="40" t="s">
        <v>621</v>
      </c>
    </row>
    <row r="10" spans="4:10" x14ac:dyDescent="0.3">
      <c r="D10" s="39">
        <v>5</v>
      </c>
      <c r="E10" s="40" t="s">
        <v>622</v>
      </c>
      <c r="F10" s="40" t="s">
        <v>623</v>
      </c>
      <c r="G10" s="40" t="s">
        <v>624</v>
      </c>
    </row>
    <row r="11" spans="4:10" x14ac:dyDescent="0.3">
      <c r="D11" s="39">
        <v>6</v>
      </c>
      <c r="E11" s="40" t="s">
        <v>625</v>
      </c>
      <c r="F11" s="40" t="s">
        <v>626</v>
      </c>
      <c r="G11" s="40" t="s">
        <v>627</v>
      </c>
    </row>
  </sheetData>
  <mergeCells count="2">
    <mergeCell ref="I7:J8"/>
    <mergeCell ref="D2:G4"/>
  </mergeCells>
  <hyperlinks>
    <hyperlink ref="I7" location="Index!A1" display="Index!A1" xr:uid="{34D64CA6-4C55-46AD-A2B1-5E12ADE1DE8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0AC49-EFFD-4383-931A-906D0A0F68BD}">
  <sheetPr codeName="Sheet3"/>
  <dimension ref="A1:O66"/>
  <sheetViews>
    <sheetView showGridLines="0" zoomScale="86" zoomScaleNormal="100" workbookViewId="0">
      <selection activeCell="N10" sqref="N10:O11"/>
    </sheetView>
  </sheetViews>
  <sheetFormatPr defaultRowHeight="14.4" x14ac:dyDescent="0.3"/>
  <cols>
    <col min="1" max="2" width="8.33203125" bestFit="1" customWidth="1"/>
    <col min="5" max="6" width="8.33203125" bestFit="1" customWidth="1"/>
    <col min="7" max="7" width="22.44140625" bestFit="1" customWidth="1"/>
    <col min="8" max="8" width="38.6640625" bestFit="1" customWidth="1"/>
  </cols>
  <sheetData>
    <row r="1" spans="1:15" x14ac:dyDescent="0.3">
      <c r="A1" s="74" t="s">
        <v>565</v>
      </c>
      <c r="B1" s="74"/>
      <c r="C1" s="74"/>
      <c r="D1" s="74"/>
      <c r="E1" s="74"/>
      <c r="F1" s="74"/>
      <c r="G1" s="74"/>
      <c r="H1" s="74"/>
      <c r="I1" s="74"/>
      <c r="J1" s="74"/>
      <c r="K1" s="74"/>
      <c r="L1" s="74"/>
      <c r="M1" s="74"/>
      <c r="N1" s="74"/>
      <c r="O1" s="74"/>
    </row>
    <row r="2" spans="1:15" x14ac:dyDescent="0.3">
      <c r="A2" s="74"/>
      <c r="B2" s="74"/>
      <c r="C2" s="74"/>
      <c r="D2" s="74"/>
      <c r="E2" s="74"/>
      <c r="F2" s="74"/>
      <c r="G2" s="74"/>
      <c r="H2" s="74"/>
      <c r="I2" s="74"/>
      <c r="J2" s="74"/>
      <c r="K2" s="74"/>
      <c r="L2" s="74"/>
      <c r="M2" s="74"/>
      <c r="N2" s="74"/>
      <c r="O2" s="74"/>
    </row>
    <row r="3" spans="1:15" x14ac:dyDescent="0.3">
      <c r="A3" s="74"/>
      <c r="B3" s="74"/>
      <c r="C3" s="74"/>
      <c r="D3" s="74"/>
      <c r="E3" s="74"/>
      <c r="F3" s="74"/>
      <c r="G3" s="74"/>
      <c r="H3" s="74"/>
      <c r="I3" s="74"/>
      <c r="J3" s="74"/>
      <c r="K3" s="74"/>
      <c r="L3" s="74"/>
      <c r="M3" s="74"/>
      <c r="N3" s="74"/>
      <c r="O3" s="74"/>
    </row>
    <row r="4" spans="1:15" x14ac:dyDescent="0.3">
      <c r="A4" s="74"/>
      <c r="B4" s="74"/>
      <c r="C4" s="74"/>
      <c r="D4" s="74"/>
      <c r="E4" s="74"/>
      <c r="F4" s="74"/>
      <c r="G4" s="74"/>
      <c r="H4" s="74"/>
      <c r="I4" s="74"/>
      <c r="J4" s="74"/>
      <c r="K4" s="74"/>
      <c r="L4" s="74"/>
      <c r="M4" s="74"/>
      <c r="N4" s="74"/>
      <c r="O4" s="74"/>
    </row>
    <row r="5" spans="1:15" ht="22.8" x14ac:dyDescent="0.4">
      <c r="G5" s="23" t="s">
        <v>566</v>
      </c>
      <c r="H5" s="23" t="s">
        <v>567</v>
      </c>
    </row>
    <row r="6" spans="1:15" ht="22.8" x14ac:dyDescent="0.4">
      <c r="G6" s="26" t="str" cm="1">
        <f t="array" ref="G6:G19">TRANSPOSE(Table6[[#Headers],[Slot ID]:[Is Lab]])</f>
        <v>Slot ID</v>
      </c>
      <c r="H6" s="29"/>
      <c r="I6" s="76" t="s">
        <v>600</v>
      </c>
      <c r="J6" s="77"/>
      <c r="K6" s="30" t="str" cm="1">
        <f t="array" ref="K6">LOOKUP(2,1/(Table6[Slot ID]&lt;&gt;""),Table6[Slot ID])</f>
        <v>TS0109</v>
      </c>
    </row>
    <row r="7" spans="1:15" ht="22.8" x14ac:dyDescent="0.4">
      <c r="E7" s="22"/>
      <c r="F7" s="22"/>
      <c r="G7" s="27" t="str">
        <v>Day</v>
      </c>
      <c r="H7" s="24"/>
    </row>
    <row r="8" spans="1:15" ht="22.8" x14ac:dyDescent="0.4">
      <c r="G8" s="27" t="str">
        <v>Time Slot</v>
      </c>
      <c r="H8" s="24"/>
    </row>
    <row r="9" spans="1:15" ht="22.8" x14ac:dyDescent="0.4">
      <c r="G9" s="27" t="str">
        <v>Department</v>
      </c>
      <c r="H9" s="24"/>
    </row>
    <row r="10" spans="1:15" ht="22.8" x14ac:dyDescent="0.4">
      <c r="G10" s="27" t="str">
        <v>Subject Code</v>
      </c>
      <c r="H10" s="31"/>
      <c r="I10" s="76" t="s">
        <v>596</v>
      </c>
      <c r="J10" s="77"/>
      <c r="K10" s="30" t="str">
        <f>LEFT(H9,2)</f>
        <v/>
      </c>
      <c r="N10" s="75" t="s">
        <v>594</v>
      </c>
      <c r="O10" s="75"/>
    </row>
    <row r="11" spans="1:15" ht="22.8" x14ac:dyDescent="0.4">
      <c r="G11" s="27" t="str">
        <v>Subject Name</v>
      </c>
      <c r="H11" s="32"/>
      <c r="N11" s="75"/>
      <c r="O11" s="75"/>
    </row>
    <row r="12" spans="1:15" ht="22.8" x14ac:dyDescent="0.4">
      <c r="G12" s="27" t="str">
        <v>Faculty ID</v>
      </c>
      <c r="H12" s="24"/>
    </row>
    <row r="13" spans="1:15" ht="22.8" x14ac:dyDescent="0.4">
      <c r="G13" s="27" t="str">
        <v>Room ID</v>
      </c>
      <c r="H13" s="24"/>
      <c r="J13" t="s">
        <v>554</v>
      </c>
    </row>
    <row r="14" spans="1:15" ht="22.8" x14ac:dyDescent="0.4">
      <c r="G14" s="27" t="str">
        <v>Room Type</v>
      </c>
      <c r="H14" s="24" t="str">
        <f>IF(H13="","",_xlfn.XLOOKUP(H13,Table4[Room ID],Table4[Room Type]))</f>
        <v/>
      </c>
    </row>
    <row r="15" spans="1:15" ht="22.8" x14ac:dyDescent="0.4">
      <c r="G15" s="27" t="str">
        <v>Batch</v>
      </c>
      <c r="H15" s="25"/>
    </row>
    <row r="16" spans="1:15" ht="22.8" x14ac:dyDescent="0.4">
      <c r="G16" s="27" t="str">
        <v>Semester</v>
      </c>
      <c r="H16" s="25"/>
    </row>
    <row r="17" spans="7:8" ht="22.8" x14ac:dyDescent="0.4">
      <c r="G17" s="27" t="str">
        <v>Section</v>
      </c>
      <c r="H17" s="25"/>
    </row>
    <row r="18" spans="7:8" ht="22.8" x14ac:dyDescent="0.4">
      <c r="G18" s="27" t="str">
        <v>Duration (hrs)</v>
      </c>
      <c r="H18" s="25"/>
    </row>
    <row r="19" spans="7:8" ht="22.8" x14ac:dyDescent="0.4">
      <c r="G19" s="27" t="str">
        <v>Is Lab</v>
      </c>
      <c r="H19" s="25"/>
    </row>
    <row r="32" spans="7:8" x14ac:dyDescent="0.3">
      <c r="G32" s="28" t="s">
        <v>568</v>
      </c>
      <c r="H32" s="28" t="s">
        <v>569</v>
      </c>
    </row>
    <row r="33" spans="7:8" x14ac:dyDescent="0.3">
      <c r="G33" t="str" cm="1">
        <f t="array" ref="G33:G66">_xlfn.UNIQUE(Table6[Subject Name])</f>
        <v>Algorithms</v>
      </c>
      <c r="H33" t="str" cm="1">
        <f t="array" ref="H33">_xlfn._xlws.FILTER(Table1[Faculty ID],Table1[Department]='Timetable entry'!H9,"No faculties found")</f>
        <v>No faculties found</v>
      </c>
    </row>
    <row r="34" spans="7:8" x14ac:dyDescent="0.3">
      <c r="G34" t="str">
        <v>Distributed Systems</v>
      </c>
    </row>
    <row r="35" spans="7:8" x14ac:dyDescent="0.3">
      <c r="G35" t="str">
        <v>C++</v>
      </c>
    </row>
    <row r="36" spans="7:8" x14ac:dyDescent="0.3">
      <c r="G36" t="str">
        <v>DBMS</v>
      </c>
    </row>
    <row r="37" spans="7:8" x14ac:dyDescent="0.3">
      <c r="G37" t="str">
        <v>Machine Learning</v>
      </c>
    </row>
    <row r="38" spans="7:8" x14ac:dyDescent="0.3">
      <c r="G38" t="str">
        <v>Digital Signal Processing</v>
      </c>
    </row>
    <row r="39" spans="7:8" x14ac:dyDescent="0.3">
      <c r="G39" t="str">
        <v>Linear Algebra</v>
      </c>
    </row>
    <row r="40" spans="7:8" x14ac:dyDescent="0.3">
      <c r="G40" t="str">
        <v>Cloud Computing</v>
      </c>
    </row>
    <row r="41" spans="7:8" x14ac:dyDescent="0.3">
      <c r="G41" t="str">
        <v>Engineering Mathematics</v>
      </c>
    </row>
    <row r="42" spans="7:8" x14ac:dyDescent="0.3">
      <c r="G42" t="str">
        <v>Embedded Systems</v>
      </c>
    </row>
    <row r="43" spans="7:8" x14ac:dyDescent="0.3">
      <c r="G43" t="str">
        <v>AI</v>
      </c>
    </row>
    <row r="44" spans="7:8" x14ac:dyDescent="0.3">
      <c r="G44" t="str">
        <v>Data Mining</v>
      </c>
    </row>
    <row r="45" spans="7:8" x14ac:dyDescent="0.3">
      <c r="G45" t="str">
        <v>Manufacturing</v>
      </c>
    </row>
    <row r="46" spans="7:8" x14ac:dyDescent="0.3">
      <c r="G46" t="str">
        <v>Signals &amp; Systems</v>
      </c>
    </row>
    <row r="47" spans="7:8" x14ac:dyDescent="0.3">
      <c r="G47" t="str">
        <v>Fluid Mechanics</v>
      </c>
    </row>
    <row r="48" spans="7:8" x14ac:dyDescent="0.3">
      <c r="G48" t="str">
        <v>Cybersecurity</v>
      </c>
    </row>
    <row r="49" spans="7:7" x14ac:dyDescent="0.3">
      <c r="G49" t="str">
        <v>Digital Electronics</v>
      </c>
    </row>
    <row r="50" spans="7:7" x14ac:dyDescent="0.3">
      <c r="G50" t="str">
        <v>Power Systems</v>
      </c>
    </row>
    <row r="51" spans="7:7" x14ac:dyDescent="0.3">
      <c r="G51" t="str">
        <v>Thermodynamics</v>
      </c>
    </row>
    <row r="52" spans="7:7" x14ac:dyDescent="0.3">
      <c r="G52" t="str">
        <v>CAD/CAM</v>
      </c>
    </row>
    <row r="53" spans="7:7" x14ac:dyDescent="0.3">
      <c r="G53" t="str">
        <v>Blockchain</v>
      </c>
    </row>
    <row r="54" spans="7:7" x14ac:dyDescent="0.3">
      <c r="G54" t="str">
        <v>Java Programming</v>
      </c>
    </row>
    <row r="55" spans="7:7" x14ac:dyDescent="0.3">
      <c r="G55" t="str">
        <v>VLSI Design</v>
      </c>
    </row>
    <row r="56" spans="7:7" x14ac:dyDescent="0.3">
      <c r="G56" t="str">
        <v>Statistics</v>
      </c>
    </row>
    <row r="57" spans="7:7" x14ac:dyDescent="0.3">
      <c r="G57" t="str">
        <v>Technical Writing</v>
      </c>
    </row>
    <row r="58" spans="7:7" x14ac:dyDescent="0.3">
      <c r="G58" t="str">
        <v>Compiler Design</v>
      </c>
    </row>
    <row r="59" spans="7:7" x14ac:dyDescent="0.3">
      <c r="G59" t="str">
        <v>Analog Circuits</v>
      </c>
    </row>
    <row r="60" spans="7:7" x14ac:dyDescent="0.3">
      <c r="G60" t="str">
        <v>Software Engineering</v>
      </c>
    </row>
    <row r="61" spans="7:7" x14ac:dyDescent="0.3">
      <c r="G61" t="str">
        <v>Computer Networks</v>
      </c>
    </row>
    <row r="62" spans="7:7" x14ac:dyDescent="0.3">
      <c r="G62" t="str">
        <v>Control Systems</v>
      </c>
    </row>
    <row r="63" spans="7:7" x14ac:dyDescent="0.3">
      <c r="G63" t="str">
        <v>Machine Design</v>
      </c>
    </row>
    <row r="64" spans="7:7" x14ac:dyDescent="0.3">
      <c r="G64" t="str">
        <v>Web Technology</v>
      </c>
    </row>
    <row r="65" spans="7:7" x14ac:dyDescent="0.3">
      <c r="G65" t="str">
        <v>Communication Skills</v>
      </c>
    </row>
    <row r="66" spans="7:7" x14ac:dyDescent="0.3">
      <c r="G66" t="str">
        <v>Microprocessors</v>
      </c>
    </row>
  </sheetData>
  <mergeCells count="4">
    <mergeCell ref="A1:O4"/>
    <mergeCell ref="N10:O11"/>
    <mergeCell ref="I6:J6"/>
    <mergeCell ref="I10:J10"/>
  </mergeCells>
  <dataValidations count="10">
    <dataValidation type="list" allowBlank="1" showInputMessage="1" showErrorMessage="1" errorTitle="Error  " error="Invalid day " sqref="H7" xr:uid="{3AF27660-9991-424C-9142-337C4E92C94C}">
      <formula1>"Monday, Tuesday , Wednesday, Thursday , Friday , Saturday "</formula1>
    </dataValidation>
    <dataValidation type="list" allowBlank="1" showInputMessage="1" showErrorMessage="1" errorTitle="Error" error="Invalid time" sqref="H8" xr:uid="{173EA9E9-CD85-4478-AAB7-1A246C501F23}">
      <formula1>"8:00-9:00, 9:00-10:00, 10:00-11:00, 11:00-12:00, 12:00-1:00, 1:00-2:00, 2:00-3:00, 3:00-4:00, 4:00-5:00"</formula1>
    </dataValidation>
    <dataValidation type="list" allowBlank="1" showInputMessage="1" showErrorMessage="1" errorTitle="Error" error="Invalid Department" sqref="H9" xr:uid="{B272F66A-D067-4725-9854-2974B6E5D50E}">
      <formula1>"ECE, CE, ME, EEE, CSE, IT, MCA, MBA"</formula1>
    </dataValidation>
    <dataValidation type="list" allowBlank="1" showInputMessage="1" showErrorMessage="1" errorTitle="Error" error="Invalid Batch" sqref="H15" xr:uid="{18E3F931-6855-4B74-8AF7-2CA48DA3E76A}">
      <formula1>"2021,2022,2023,2024"</formula1>
    </dataValidation>
    <dataValidation type="list" allowBlank="1" showInputMessage="1" showErrorMessage="1" errorTitle="Error" error="Invalid Semester" sqref="H16" xr:uid="{AE8E4A0D-3132-42D2-B516-FEDADD799900}">
      <formula1>"1,2,3,4,5,6,7,8"</formula1>
    </dataValidation>
    <dataValidation type="list" allowBlank="1" showInputMessage="1" showErrorMessage="1" errorTitle="Error" error="Invalid Section" sqref="H17" xr:uid="{EA9E3109-2564-4061-AF96-70AA0CE62AD0}">
      <formula1>"A,B,C,D"</formula1>
    </dataValidation>
    <dataValidation type="list" allowBlank="1" showInputMessage="1" showErrorMessage="1" errorTitle="Error" error="Invalid Duration " sqref="H18" xr:uid="{E715AD83-496A-4160-961F-FCD8C2D02D2E}">
      <formula1>"1,2"</formula1>
    </dataValidation>
    <dataValidation type="list" allowBlank="1" showInputMessage="1" showErrorMessage="1" errorTitle="Error" error="Only Yes, No possible" sqref="H19" xr:uid="{2E72F31D-03C5-4B35-B680-A75D8492BCEE}">
      <formula1>"Yes,No"</formula1>
    </dataValidation>
    <dataValidation type="list" allowBlank="1" showInputMessage="1" showErrorMessage="1" errorTitle="Error" error="Invalid Faculty ID" sqref="H12" xr:uid="{14BDB535-0B1E-48F4-81C7-61A06A6BC947}">
      <formula1>$H$33:$H$62</formula1>
    </dataValidation>
    <dataValidation type="list" allowBlank="1" showInputMessage="1" showErrorMessage="1" errorTitle="Invalid" error="Invalid Subject" sqref="H11" xr:uid="{D323A420-8907-4010-A6A2-CC45ABEE2D80}">
      <formula1>$G$33:$G$66</formula1>
    </dataValidation>
  </dataValidations>
  <hyperlinks>
    <hyperlink ref="N10:O11" location="Index!A1" display="Back to Index" xr:uid="{C1D73DF6-D30D-478B-A7E3-7A1055F05D93}"/>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Insert_data">
                <anchor moveWithCells="1" sizeWithCells="1">
                  <from>
                    <xdr:col>12</xdr:col>
                    <xdr:colOff>556260</xdr:colOff>
                    <xdr:row>12</xdr:row>
                    <xdr:rowOff>38100</xdr:rowOff>
                  </from>
                  <to>
                    <xdr:col>15</xdr:col>
                    <xdr:colOff>99060</xdr:colOff>
                    <xdr:row>14</xdr:row>
                    <xdr:rowOff>114300</xdr:rowOff>
                  </to>
                </anchor>
              </controlPr>
            </control>
          </mc:Choice>
        </mc:AlternateContent>
        <mc:AlternateContent xmlns:mc="http://schemas.openxmlformats.org/markup-compatibility/2006">
          <mc:Choice Requires="x14">
            <control shapeId="2054" r:id="rId5" name="Button 6">
              <controlPr defaultSize="0" print="0" autoFill="0" autoPict="0" macro="[0]!Refresh">
                <anchor moveWithCells="1" sizeWithCells="1">
                  <from>
                    <xdr:col>13</xdr:col>
                    <xdr:colOff>76200</xdr:colOff>
                    <xdr:row>15</xdr:row>
                    <xdr:rowOff>60960</xdr:rowOff>
                  </from>
                  <to>
                    <xdr:col>14</xdr:col>
                    <xdr:colOff>586740</xdr:colOff>
                    <xdr:row>17</xdr:row>
                    <xdr:rowOff>167640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Error" error="Invalid Room ID" xr:uid="{873C8D55-A6E0-4BE1-ACF1-CD0D2F5C1B98}">
          <x14:formula1>
            <xm:f>'Modified Room Util'!$A$2:$A$41</xm:f>
          </x14:formula1>
          <xm:sqref>H13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109"/>
  <sheetViews>
    <sheetView workbookViewId="0">
      <pane ySplit="1" topLeftCell="A2" activePane="bottomLeft" state="frozen"/>
      <selection pane="bottomLeft" activeCell="O7" sqref="O7:P8"/>
    </sheetView>
  </sheetViews>
  <sheetFormatPr defaultRowHeight="14.4" x14ac:dyDescent="0.3"/>
  <cols>
    <col min="1" max="1" width="10" customWidth="1"/>
    <col min="2" max="2" width="12" customWidth="1"/>
    <col min="3" max="5" width="14" customWidth="1"/>
    <col min="6" max="6" width="28" customWidth="1"/>
    <col min="7" max="7" width="12" customWidth="1"/>
    <col min="8" max="8" width="10" customWidth="1"/>
    <col min="9" max="9" width="18" customWidth="1"/>
    <col min="10" max="10" width="8" customWidth="1"/>
    <col min="11" max="12" width="10" customWidth="1"/>
    <col min="13" max="13" width="16" customWidth="1"/>
    <col min="14" max="14" width="8" customWidth="1"/>
  </cols>
  <sheetData>
    <row r="1" spans="1:16" x14ac:dyDescent="0.3">
      <c r="A1" s="1" t="s">
        <v>0</v>
      </c>
      <c r="B1" s="1" t="s">
        <v>1</v>
      </c>
      <c r="C1" s="1" t="s">
        <v>2</v>
      </c>
      <c r="D1" s="1" t="s">
        <v>3</v>
      </c>
      <c r="E1" s="1" t="s">
        <v>4</v>
      </c>
      <c r="F1" s="1" t="s">
        <v>5</v>
      </c>
      <c r="G1" s="1" t="s">
        <v>6</v>
      </c>
      <c r="H1" s="21" t="s">
        <v>512</v>
      </c>
      <c r="I1" s="1" t="s">
        <v>7</v>
      </c>
      <c r="J1" s="1" t="s">
        <v>8</v>
      </c>
      <c r="K1" s="1" t="s">
        <v>9</v>
      </c>
      <c r="L1" s="1" t="s">
        <v>10</v>
      </c>
      <c r="M1" s="1" t="s">
        <v>11</v>
      </c>
      <c r="N1" s="1" t="s">
        <v>12</v>
      </c>
    </row>
    <row r="2" spans="1:16" x14ac:dyDescent="0.3">
      <c r="A2" s="2" t="s">
        <v>13</v>
      </c>
      <c r="B2" s="2" t="s">
        <v>14</v>
      </c>
      <c r="C2" s="2" t="s">
        <v>15</v>
      </c>
      <c r="D2" s="2" t="s">
        <v>16</v>
      </c>
      <c r="E2" s="2" t="s">
        <v>17</v>
      </c>
      <c r="F2" s="2" t="s">
        <v>18</v>
      </c>
      <c r="G2" s="2" t="s">
        <v>19</v>
      </c>
      <c r="H2" s="2" t="s">
        <v>20</v>
      </c>
      <c r="I2" s="2" t="s">
        <v>21</v>
      </c>
      <c r="J2" s="2" t="s">
        <v>22</v>
      </c>
      <c r="K2" s="2">
        <v>1</v>
      </c>
      <c r="L2" s="2" t="s">
        <v>23</v>
      </c>
      <c r="M2" s="2">
        <v>1</v>
      </c>
      <c r="N2" s="2" t="s">
        <v>24</v>
      </c>
    </row>
    <row r="3" spans="1:16" x14ac:dyDescent="0.3">
      <c r="A3" s="3" t="s">
        <v>26</v>
      </c>
      <c r="B3" s="3" t="s">
        <v>27</v>
      </c>
      <c r="C3" s="3" t="s">
        <v>15</v>
      </c>
      <c r="D3" s="3" t="s">
        <v>28</v>
      </c>
      <c r="E3" s="3" t="s">
        <v>29</v>
      </c>
      <c r="F3" s="3" t="s">
        <v>30</v>
      </c>
      <c r="G3" s="3" t="s">
        <v>31</v>
      </c>
      <c r="H3" s="3" t="s">
        <v>32</v>
      </c>
      <c r="I3" s="3" t="s">
        <v>33</v>
      </c>
      <c r="J3" s="3" t="s">
        <v>22</v>
      </c>
      <c r="K3" s="3">
        <v>4</v>
      </c>
      <c r="L3" s="3" t="s">
        <v>34</v>
      </c>
      <c r="M3" s="3">
        <v>2</v>
      </c>
      <c r="N3" s="3" t="s">
        <v>25</v>
      </c>
    </row>
    <row r="4" spans="1:16" x14ac:dyDescent="0.3">
      <c r="A4" s="2" t="s">
        <v>35</v>
      </c>
      <c r="B4" s="2" t="s">
        <v>36</v>
      </c>
      <c r="C4" s="2" t="s">
        <v>37</v>
      </c>
      <c r="D4" s="2" t="s">
        <v>38</v>
      </c>
      <c r="E4" s="2" t="s">
        <v>39</v>
      </c>
      <c r="F4" s="2" t="s">
        <v>40</v>
      </c>
      <c r="G4" s="2" t="s">
        <v>41</v>
      </c>
      <c r="H4" s="2" t="s">
        <v>42</v>
      </c>
      <c r="I4" s="2" t="s">
        <v>21</v>
      </c>
      <c r="J4" s="2" t="s">
        <v>43</v>
      </c>
      <c r="K4" s="2">
        <v>7</v>
      </c>
      <c r="L4" s="2" t="s">
        <v>23</v>
      </c>
      <c r="M4" s="2">
        <v>1</v>
      </c>
      <c r="N4" s="2" t="s">
        <v>24</v>
      </c>
    </row>
    <row r="5" spans="1:16" x14ac:dyDescent="0.3">
      <c r="A5" s="3" t="s">
        <v>44</v>
      </c>
      <c r="B5" s="3" t="s">
        <v>27</v>
      </c>
      <c r="C5" s="3" t="s">
        <v>45</v>
      </c>
      <c r="D5" s="3" t="s">
        <v>46</v>
      </c>
      <c r="E5" s="3" t="s">
        <v>47</v>
      </c>
      <c r="F5" s="3" t="s">
        <v>48</v>
      </c>
      <c r="G5" s="3" t="s">
        <v>49</v>
      </c>
      <c r="H5" s="3" t="s">
        <v>50</v>
      </c>
      <c r="I5" s="3" t="s">
        <v>33</v>
      </c>
      <c r="J5" s="3" t="s">
        <v>51</v>
      </c>
      <c r="K5" s="3">
        <v>4</v>
      </c>
      <c r="L5" s="3" t="s">
        <v>23</v>
      </c>
      <c r="M5" s="3">
        <v>1</v>
      </c>
      <c r="N5" s="3" t="s">
        <v>24</v>
      </c>
    </row>
    <row r="6" spans="1:16" x14ac:dyDescent="0.3">
      <c r="A6" s="2" t="s">
        <v>52</v>
      </c>
      <c r="B6" s="2" t="s">
        <v>53</v>
      </c>
      <c r="C6" s="2" t="s">
        <v>54</v>
      </c>
      <c r="D6" s="2" t="s">
        <v>46</v>
      </c>
      <c r="E6" s="2" t="s">
        <v>55</v>
      </c>
      <c r="F6" s="2" t="s">
        <v>56</v>
      </c>
      <c r="G6" s="2" t="s">
        <v>57</v>
      </c>
      <c r="H6" s="2" t="s">
        <v>58</v>
      </c>
      <c r="I6" s="2" t="s">
        <v>33</v>
      </c>
      <c r="J6" s="2" t="s">
        <v>59</v>
      </c>
      <c r="K6" s="2">
        <v>6</v>
      </c>
      <c r="L6" s="2" t="s">
        <v>60</v>
      </c>
      <c r="M6" s="2">
        <v>2</v>
      </c>
      <c r="N6" s="2" t="s">
        <v>25</v>
      </c>
    </row>
    <row r="7" spans="1:16" x14ac:dyDescent="0.3">
      <c r="A7" s="3" t="s">
        <v>61</v>
      </c>
      <c r="B7" s="3" t="s">
        <v>27</v>
      </c>
      <c r="C7" s="3" t="s">
        <v>15</v>
      </c>
      <c r="D7" s="3" t="s">
        <v>16</v>
      </c>
      <c r="E7" s="3" t="s">
        <v>62</v>
      </c>
      <c r="F7" s="3" t="s">
        <v>63</v>
      </c>
      <c r="G7" s="3" t="s">
        <v>57</v>
      </c>
      <c r="H7" s="3" t="s">
        <v>64</v>
      </c>
      <c r="I7" s="3" t="s">
        <v>33</v>
      </c>
      <c r="J7" s="3" t="s">
        <v>51</v>
      </c>
      <c r="K7" s="3">
        <v>4</v>
      </c>
      <c r="L7" s="3" t="s">
        <v>60</v>
      </c>
      <c r="M7" s="3">
        <v>2</v>
      </c>
      <c r="N7" s="3" t="s">
        <v>25</v>
      </c>
      <c r="O7" s="75" t="s">
        <v>594</v>
      </c>
      <c r="P7" s="75"/>
    </row>
    <row r="8" spans="1:16" x14ac:dyDescent="0.3">
      <c r="A8" s="2" t="s">
        <v>65</v>
      </c>
      <c r="B8" s="2" t="s">
        <v>36</v>
      </c>
      <c r="C8" s="2" t="s">
        <v>45</v>
      </c>
      <c r="D8" s="2" t="s">
        <v>66</v>
      </c>
      <c r="E8" s="2" t="s">
        <v>67</v>
      </c>
      <c r="F8" s="2" t="s">
        <v>68</v>
      </c>
      <c r="G8" s="2" t="s">
        <v>69</v>
      </c>
      <c r="H8" s="2" t="s">
        <v>70</v>
      </c>
      <c r="I8" s="2" t="s">
        <v>21</v>
      </c>
      <c r="J8" s="2" t="s">
        <v>22</v>
      </c>
      <c r="K8" s="2">
        <v>7</v>
      </c>
      <c r="L8" s="2" t="s">
        <v>34</v>
      </c>
      <c r="M8" s="2">
        <v>1</v>
      </c>
      <c r="N8" s="2" t="s">
        <v>24</v>
      </c>
      <c r="O8" s="75"/>
      <c r="P8" s="75"/>
    </row>
    <row r="9" spans="1:16" x14ac:dyDescent="0.3">
      <c r="A9" s="3" t="s">
        <v>71</v>
      </c>
      <c r="B9" s="3" t="s">
        <v>72</v>
      </c>
      <c r="C9" s="3" t="s">
        <v>54</v>
      </c>
      <c r="D9" s="3" t="s">
        <v>38</v>
      </c>
      <c r="E9" s="3" t="s">
        <v>73</v>
      </c>
      <c r="F9" s="3" t="s">
        <v>74</v>
      </c>
      <c r="G9" s="3" t="s">
        <v>75</v>
      </c>
      <c r="H9" s="3" t="s">
        <v>76</v>
      </c>
      <c r="I9" s="3"/>
      <c r="J9" s="3" t="s">
        <v>59</v>
      </c>
      <c r="K9" s="3">
        <v>3</v>
      </c>
      <c r="L9" s="3" t="s">
        <v>34</v>
      </c>
      <c r="M9" s="3">
        <v>1</v>
      </c>
      <c r="N9" s="3" t="s">
        <v>24</v>
      </c>
    </row>
    <row r="10" spans="1:16" x14ac:dyDescent="0.3">
      <c r="A10" s="3"/>
      <c r="B10" s="3"/>
      <c r="C10" s="3"/>
      <c r="D10" s="3"/>
      <c r="E10" s="3"/>
      <c r="F10" s="3"/>
      <c r="G10" s="3"/>
      <c r="H10" s="3"/>
      <c r="I10" s="3"/>
      <c r="J10" s="3"/>
      <c r="K10" s="3"/>
      <c r="L10" s="3"/>
      <c r="M10" s="3"/>
      <c r="N10" s="3"/>
    </row>
    <row r="11" spans="1:16" x14ac:dyDescent="0.3">
      <c r="A11" s="2" t="s">
        <v>77</v>
      </c>
      <c r="B11" s="2" t="s">
        <v>72</v>
      </c>
      <c r="C11" s="2" t="s">
        <v>54</v>
      </c>
      <c r="D11" s="2" t="s">
        <v>16</v>
      </c>
      <c r="E11" s="2" t="s">
        <v>78</v>
      </c>
      <c r="F11" s="2" t="s">
        <v>79</v>
      </c>
      <c r="G11" s="2" t="s">
        <v>80</v>
      </c>
      <c r="H11" s="2" t="s">
        <v>64</v>
      </c>
      <c r="I11" s="2" t="s">
        <v>33</v>
      </c>
      <c r="J11" s="2" t="s">
        <v>22</v>
      </c>
      <c r="K11" s="2">
        <v>8</v>
      </c>
      <c r="L11" s="2" t="s">
        <v>60</v>
      </c>
      <c r="M11" s="2">
        <v>2</v>
      </c>
      <c r="N11" s="2" t="s">
        <v>25</v>
      </c>
    </row>
    <row r="12" spans="1:16" x14ac:dyDescent="0.3">
      <c r="A12" s="3" t="s">
        <v>81</v>
      </c>
      <c r="B12" s="3" t="s">
        <v>36</v>
      </c>
      <c r="C12" s="3" t="s">
        <v>54</v>
      </c>
      <c r="D12" s="3" t="s">
        <v>46</v>
      </c>
      <c r="E12" s="3" t="s">
        <v>82</v>
      </c>
      <c r="F12" s="3" t="s">
        <v>83</v>
      </c>
      <c r="G12" s="3" t="s">
        <v>57</v>
      </c>
      <c r="H12" s="3" t="s">
        <v>84</v>
      </c>
      <c r="I12" s="3" t="s">
        <v>33</v>
      </c>
      <c r="J12" s="3" t="s">
        <v>51</v>
      </c>
      <c r="K12" s="3">
        <v>3</v>
      </c>
      <c r="L12" s="3" t="s">
        <v>23</v>
      </c>
      <c r="M12" s="3">
        <v>2</v>
      </c>
      <c r="N12" s="3" t="s">
        <v>25</v>
      </c>
    </row>
    <row r="13" spans="1:16" x14ac:dyDescent="0.3">
      <c r="A13" s="2" t="s">
        <v>85</v>
      </c>
      <c r="B13" s="2"/>
      <c r="C13" s="2" t="s">
        <v>86</v>
      </c>
      <c r="D13" s="2" t="s">
        <v>38</v>
      </c>
      <c r="E13" s="2" t="s">
        <v>87</v>
      </c>
      <c r="F13" s="2" t="s">
        <v>88</v>
      </c>
      <c r="G13" s="2"/>
      <c r="H13" s="2" t="s">
        <v>90</v>
      </c>
      <c r="I13" s="2" t="s">
        <v>33</v>
      </c>
      <c r="J13" s="2" t="s">
        <v>51</v>
      </c>
      <c r="K13" s="2">
        <v>8</v>
      </c>
      <c r="L13" s="2" t="s">
        <v>23</v>
      </c>
      <c r="M13" s="2">
        <v>2</v>
      </c>
      <c r="N13" s="2" t="s">
        <v>25</v>
      </c>
    </row>
    <row r="14" spans="1:16" x14ac:dyDescent="0.3">
      <c r="A14" s="3" t="s">
        <v>91</v>
      </c>
      <c r="B14" s="3" t="s">
        <v>14</v>
      </c>
      <c r="C14" s="3" t="s">
        <v>45</v>
      </c>
      <c r="D14" s="3" t="s">
        <v>46</v>
      </c>
      <c r="E14" s="3" t="s">
        <v>92</v>
      </c>
      <c r="F14" s="3" t="s">
        <v>74</v>
      </c>
      <c r="G14" s="3" t="s">
        <v>93</v>
      </c>
      <c r="H14" s="3" t="s">
        <v>94</v>
      </c>
      <c r="I14" s="3" t="s">
        <v>33</v>
      </c>
      <c r="J14" s="3"/>
      <c r="K14" s="3">
        <v>3</v>
      </c>
      <c r="L14" s="3" t="s">
        <v>95</v>
      </c>
      <c r="M14" s="3">
        <v>2</v>
      </c>
      <c r="N14" s="3" t="s">
        <v>25</v>
      </c>
    </row>
    <row r="15" spans="1:16" x14ac:dyDescent="0.3">
      <c r="A15" s="2" t="s">
        <v>96</v>
      </c>
      <c r="B15" s="2" t="s">
        <v>14</v>
      </c>
      <c r="C15" s="2" t="s">
        <v>86</v>
      </c>
      <c r="D15" s="2" t="s">
        <v>46</v>
      </c>
      <c r="E15" s="2" t="s">
        <v>97</v>
      </c>
      <c r="F15" s="2"/>
      <c r="G15" s="2" t="s">
        <v>93</v>
      </c>
      <c r="H15" s="2" t="s">
        <v>98</v>
      </c>
      <c r="I15" s="2" t="s">
        <v>33</v>
      </c>
      <c r="J15" s="2" t="s">
        <v>22</v>
      </c>
      <c r="K15" s="2">
        <v>6</v>
      </c>
      <c r="L15" s="2" t="s">
        <v>34</v>
      </c>
      <c r="M15" s="2">
        <v>1</v>
      </c>
      <c r="N15" s="2" t="s">
        <v>24</v>
      </c>
    </row>
    <row r="16" spans="1:16" x14ac:dyDescent="0.3">
      <c r="A16" s="3" t="s">
        <v>99</v>
      </c>
      <c r="B16" s="3" t="s">
        <v>36</v>
      </c>
      <c r="C16" s="3" t="s">
        <v>100</v>
      </c>
      <c r="D16" s="3" t="s">
        <v>28</v>
      </c>
      <c r="E16" s="3" t="s">
        <v>101</v>
      </c>
      <c r="F16" s="3" t="s">
        <v>102</v>
      </c>
      <c r="G16" s="3" t="s">
        <v>103</v>
      </c>
      <c r="H16" s="3" t="s">
        <v>104</v>
      </c>
      <c r="I16" s="3" t="s">
        <v>33</v>
      </c>
      <c r="J16" s="3" t="s">
        <v>59</v>
      </c>
      <c r="K16" s="3">
        <v>1</v>
      </c>
      <c r="L16" s="3" t="s">
        <v>23</v>
      </c>
      <c r="M16" s="3">
        <v>2</v>
      </c>
      <c r="N16" s="3" t="s">
        <v>25</v>
      </c>
    </row>
    <row r="17" spans="1:14" x14ac:dyDescent="0.3">
      <c r="A17" s="2" t="s">
        <v>105</v>
      </c>
      <c r="B17" s="2" t="s">
        <v>53</v>
      </c>
      <c r="C17" s="2" t="s">
        <v>86</v>
      </c>
      <c r="D17" s="2" t="s">
        <v>16</v>
      </c>
      <c r="E17" s="2" t="s">
        <v>106</v>
      </c>
      <c r="F17" s="2" t="s">
        <v>48</v>
      </c>
      <c r="G17" s="2" t="s">
        <v>107</v>
      </c>
      <c r="H17" s="2" t="s">
        <v>94</v>
      </c>
      <c r="I17" s="2" t="s">
        <v>21</v>
      </c>
      <c r="J17" s="2" t="s">
        <v>59</v>
      </c>
      <c r="K17" s="2">
        <v>8</v>
      </c>
      <c r="L17" s="2" t="s">
        <v>95</v>
      </c>
      <c r="M17" s="2">
        <v>1</v>
      </c>
      <c r="N17" s="2" t="s">
        <v>24</v>
      </c>
    </row>
    <row r="18" spans="1:14" x14ac:dyDescent="0.3">
      <c r="A18" s="3" t="s">
        <v>108</v>
      </c>
      <c r="B18" s="3" t="s">
        <v>72</v>
      </c>
      <c r="C18" s="3" t="s">
        <v>54</v>
      </c>
      <c r="D18" s="3" t="s">
        <v>28</v>
      </c>
      <c r="E18" s="3" t="s">
        <v>109</v>
      </c>
      <c r="F18" s="3" t="s">
        <v>110</v>
      </c>
      <c r="G18" s="3" t="s">
        <v>111</v>
      </c>
      <c r="H18" s="3" t="s">
        <v>112</v>
      </c>
      <c r="I18" s="3" t="s">
        <v>33</v>
      </c>
      <c r="J18" s="3" t="s">
        <v>22</v>
      </c>
      <c r="K18" s="3">
        <v>1</v>
      </c>
      <c r="L18" s="3" t="s">
        <v>23</v>
      </c>
      <c r="M18" s="3">
        <v>2</v>
      </c>
      <c r="N18" s="3" t="s">
        <v>25</v>
      </c>
    </row>
    <row r="19" spans="1:14" x14ac:dyDescent="0.3">
      <c r="A19" s="2" t="s">
        <v>113</v>
      </c>
      <c r="B19" s="2" t="s">
        <v>14</v>
      </c>
      <c r="C19" s="2" t="s">
        <v>15</v>
      </c>
      <c r="D19" s="2" t="s">
        <v>114</v>
      </c>
      <c r="E19" s="2" t="s">
        <v>115</v>
      </c>
      <c r="F19" s="2" t="s">
        <v>110</v>
      </c>
      <c r="G19" s="2" t="s">
        <v>116</v>
      </c>
      <c r="H19" s="2" t="s">
        <v>117</v>
      </c>
      <c r="I19" s="2" t="s">
        <v>33</v>
      </c>
      <c r="J19" s="2" t="s">
        <v>22</v>
      </c>
      <c r="K19" s="2">
        <v>3</v>
      </c>
      <c r="L19" s="2" t="s">
        <v>60</v>
      </c>
      <c r="M19" s="2">
        <v>2</v>
      </c>
      <c r="N19" s="2" t="s">
        <v>25</v>
      </c>
    </row>
    <row r="20" spans="1:14" x14ac:dyDescent="0.3">
      <c r="A20" s="3" t="s">
        <v>118</v>
      </c>
      <c r="B20" s="3" t="s">
        <v>53</v>
      </c>
      <c r="C20" s="3" t="s">
        <v>86</v>
      </c>
      <c r="D20" s="3" t="s">
        <v>16</v>
      </c>
      <c r="E20" s="3" t="s">
        <v>119</v>
      </c>
      <c r="F20" s="3" t="s">
        <v>120</v>
      </c>
      <c r="G20" s="3" t="s">
        <v>89</v>
      </c>
      <c r="H20" s="3" t="s">
        <v>50</v>
      </c>
      <c r="I20" s="3" t="s">
        <v>33</v>
      </c>
      <c r="J20" s="3" t="s">
        <v>59</v>
      </c>
      <c r="K20" s="3">
        <v>3</v>
      </c>
      <c r="L20" s="3" t="s">
        <v>34</v>
      </c>
      <c r="M20" s="3">
        <v>2</v>
      </c>
      <c r="N20" s="3" t="s">
        <v>25</v>
      </c>
    </row>
    <row r="21" spans="1:14" x14ac:dyDescent="0.3">
      <c r="A21" s="2" t="s">
        <v>121</v>
      </c>
      <c r="B21" s="2" t="s">
        <v>14</v>
      </c>
      <c r="C21" s="2" t="s">
        <v>54</v>
      </c>
      <c r="D21" s="2"/>
      <c r="E21" s="2" t="s">
        <v>122</v>
      </c>
      <c r="F21" s="2" t="s">
        <v>123</v>
      </c>
      <c r="G21" s="2" t="s">
        <v>49</v>
      </c>
      <c r="H21" s="2" t="s">
        <v>124</v>
      </c>
      <c r="I21" s="2" t="s">
        <v>33</v>
      </c>
      <c r="J21" s="2" t="s">
        <v>22</v>
      </c>
      <c r="K21" s="2">
        <v>5</v>
      </c>
      <c r="L21" s="2" t="s">
        <v>34</v>
      </c>
      <c r="M21" s="2">
        <v>2</v>
      </c>
      <c r="N21" s="2" t="s">
        <v>25</v>
      </c>
    </row>
    <row r="22" spans="1:14" x14ac:dyDescent="0.3">
      <c r="A22" s="3" t="s">
        <v>125</v>
      </c>
      <c r="B22" s="3" t="s">
        <v>53</v>
      </c>
      <c r="C22" s="3" t="s">
        <v>86</v>
      </c>
      <c r="D22" s="3" t="s">
        <v>28</v>
      </c>
      <c r="E22" s="3" t="s">
        <v>126</v>
      </c>
      <c r="F22" s="3" t="s">
        <v>127</v>
      </c>
      <c r="G22" s="3" t="s">
        <v>19</v>
      </c>
      <c r="H22" s="3" t="s">
        <v>70</v>
      </c>
      <c r="I22" s="3" t="s">
        <v>33</v>
      </c>
      <c r="J22" s="3" t="s">
        <v>43</v>
      </c>
      <c r="K22" s="3">
        <v>1</v>
      </c>
      <c r="L22" s="3" t="s">
        <v>34</v>
      </c>
      <c r="M22" s="3">
        <v>2</v>
      </c>
      <c r="N22" s="3" t="s">
        <v>25</v>
      </c>
    </row>
    <row r="23" spans="1:14" x14ac:dyDescent="0.3">
      <c r="A23" s="2" t="s">
        <v>128</v>
      </c>
      <c r="B23" s="2" t="s">
        <v>27</v>
      </c>
      <c r="C23" s="2" t="s">
        <v>45</v>
      </c>
      <c r="D23" s="2" t="s">
        <v>16</v>
      </c>
      <c r="E23" s="2" t="s">
        <v>129</v>
      </c>
      <c r="F23" s="2" t="s">
        <v>130</v>
      </c>
      <c r="G23" s="2" t="s">
        <v>131</v>
      </c>
      <c r="H23" s="2" t="s">
        <v>76</v>
      </c>
      <c r="I23" s="2" t="s">
        <v>33</v>
      </c>
      <c r="J23" s="2" t="s">
        <v>43</v>
      </c>
      <c r="K23" s="2">
        <v>4</v>
      </c>
      <c r="L23" s="2" t="s">
        <v>23</v>
      </c>
      <c r="M23" s="2">
        <v>2</v>
      </c>
      <c r="N23" s="2" t="s">
        <v>25</v>
      </c>
    </row>
    <row r="24" spans="1:14" x14ac:dyDescent="0.3">
      <c r="A24" s="3" t="s">
        <v>132</v>
      </c>
      <c r="B24" s="3" t="s">
        <v>72</v>
      </c>
      <c r="C24" s="3" t="s">
        <v>133</v>
      </c>
      <c r="D24" s="3" t="s">
        <v>114</v>
      </c>
      <c r="E24" s="3" t="s">
        <v>134</v>
      </c>
      <c r="F24" s="3" t="s">
        <v>135</v>
      </c>
      <c r="G24" s="3" t="s">
        <v>136</v>
      </c>
      <c r="H24" s="3" t="s">
        <v>76</v>
      </c>
      <c r="I24" s="3" t="s">
        <v>33</v>
      </c>
      <c r="J24" s="3" t="s">
        <v>59</v>
      </c>
      <c r="K24" s="3">
        <v>5</v>
      </c>
      <c r="L24" s="3" t="s">
        <v>34</v>
      </c>
      <c r="M24" s="3">
        <v>2</v>
      </c>
      <c r="N24" s="3" t="s">
        <v>25</v>
      </c>
    </row>
    <row r="25" spans="1:14" x14ac:dyDescent="0.3">
      <c r="A25" s="2" t="s">
        <v>137</v>
      </c>
      <c r="B25" s="2" t="s">
        <v>53</v>
      </c>
      <c r="C25" s="2" t="s">
        <v>86</v>
      </c>
      <c r="D25" s="2" t="s">
        <v>66</v>
      </c>
      <c r="E25" s="2" t="s">
        <v>67</v>
      </c>
      <c r="F25" s="2" t="s">
        <v>138</v>
      </c>
      <c r="G25" s="2" t="s">
        <v>139</v>
      </c>
      <c r="H25" s="2" t="s">
        <v>124</v>
      </c>
      <c r="I25" s="2" t="s">
        <v>33</v>
      </c>
      <c r="J25" s="2" t="s">
        <v>59</v>
      </c>
      <c r="K25" s="2">
        <v>6</v>
      </c>
      <c r="L25" s="2" t="s">
        <v>23</v>
      </c>
      <c r="M25" s="2">
        <v>2</v>
      </c>
      <c r="N25" s="2" t="s">
        <v>25</v>
      </c>
    </row>
    <row r="26" spans="1:14" x14ac:dyDescent="0.3">
      <c r="A26" s="3" t="s">
        <v>140</v>
      </c>
      <c r="B26" s="3" t="s">
        <v>27</v>
      </c>
      <c r="C26" s="3" t="s">
        <v>141</v>
      </c>
      <c r="D26" s="3" t="s">
        <v>46</v>
      </c>
      <c r="E26" s="3" t="s">
        <v>142</v>
      </c>
      <c r="F26" s="3" t="s">
        <v>143</v>
      </c>
      <c r="G26" s="3" t="s">
        <v>31</v>
      </c>
      <c r="H26" s="3" t="s">
        <v>144</v>
      </c>
      <c r="I26" s="3" t="s">
        <v>21</v>
      </c>
      <c r="J26" s="3" t="s">
        <v>51</v>
      </c>
      <c r="K26" s="3">
        <v>2</v>
      </c>
      <c r="L26" s="3" t="s">
        <v>95</v>
      </c>
      <c r="M26" s="3">
        <v>1</v>
      </c>
      <c r="N26" s="3" t="s">
        <v>24</v>
      </c>
    </row>
    <row r="27" spans="1:14" x14ac:dyDescent="0.3">
      <c r="A27" s="2" t="s">
        <v>145</v>
      </c>
      <c r="B27" s="2" t="s">
        <v>36</v>
      </c>
      <c r="C27" s="2" t="s">
        <v>141</v>
      </c>
      <c r="D27" s="2" t="s">
        <v>16</v>
      </c>
      <c r="E27" s="2" t="s">
        <v>78</v>
      </c>
      <c r="F27" s="2" t="s">
        <v>146</v>
      </c>
      <c r="G27" s="2" t="s">
        <v>147</v>
      </c>
      <c r="H27" s="2" t="s">
        <v>42</v>
      </c>
      <c r="I27" s="2" t="s">
        <v>33</v>
      </c>
      <c r="J27" s="2" t="s">
        <v>59</v>
      </c>
      <c r="K27" s="2">
        <v>5</v>
      </c>
      <c r="L27" s="2" t="s">
        <v>34</v>
      </c>
      <c r="M27" s="2">
        <v>2</v>
      </c>
      <c r="N27" s="2" t="s">
        <v>25</v>
      </c>
    </row>
    <row r="28" spans="1:14" x14ac:dyDescent="0.3">
      <c r="A28" s="3" t="s">
        <v>148</v>
      </c>
      <c r="B28" s="3" t="s">
        <v>53</v>
      </c>
      <c r="C28" s="3" t="s">
        <v>100</v>
      </c>
      <c r="D28" s="3" t="s">
        <v>16</v>
      </c>
      <c r="E28" s="3" t="s">
        <v>149</v>
      </c>
      <c r="F28" s="3" t="s">
        <v>40</v>
      </c>
      <c r="G28" s="3" t="s">
        <v>150</v>
      </c>
      <c r="H28" s="3" t="s">
        <v>117</v>
      </c>
      <c r="I28" s="3" t="s">
        <v>33</v>
      </c>
      <c r="J28" s="3" t="s">
        <v>59</v>
      </c>
      <c r="K28" s="3">
        <v>8</v>
      </c>
      <c r="L28" s="3" t="s">
        <v>34</v>
      </c>
      <c r="M28" s="3">
        <v>1</v>
      </c>
      <c r="N28" s="3" t="s">
        <v>24</v>
      </c>
    </row>
    <row r="29" spans="1:14" x14ac:dyDescent="0.3">
      <c r="A29" s="2" t="s">
        <v>151</v>
      </c>
      <c r="B29" s="2" t="s">
        <v>519</v>
      </c>
      <c r="C29" s="2" t="s">
        <v>86</v>
      </c>
      <c r="D29" s="2" t="s">
        <v>16</v>
      </c>
      <c r="E29" s="2" t="s">
        <v>17</v>
      </c>
      <c r="F29" s="2" t="s">
        <v>79</v>
      </c>
      <c r="G29" s="2" t="s">
        <v>111</v>
      </c>
      <c r="H29" s="2" t="s">
        <v>117</v>
      </c>
      <c r="I29" s="2" t="s">
        <v>33</v>
      </c>
      <c r="J29" s="2" t="s">
        <v>43</v>
      </c>
      <c r="K29" s="2">
        <v>5</v>
      </c>
      <c r="L29" s="2" t="s">
        <v>60</v>
      </c>
      <c r="M29" s="2">
        <v>2</v>
      </c>
      <c r="N29" s="2" t="s">
        <v>25</v>
      </c>
    </row>
    <row r="30" spans="1:14" x14ac:dyDescent="0.3">
      <c r="A30" s="3" t="s">
        <v>152</v>
      </c>
      <c r="B30" s="3" t="s">
        <v>36</v>
      </c>
      <c r="C30" s="3" t="s">
        <v>86</v>
      </c>
      <c r="D30" s="3" t="s">
        <v>28</v>
      </c>
      <c r="E30" s="3" t="s">
        <v>153</v>
      </c>
      <c r="F30" s="3" t="s">
        <v>74</v>
      </c>
      <c r="G30" s="3" t="s">
        <v>154</v>
      </c>
      <c r="H30" s="3" t="s">
        <v>155</v>
      </c>
      <c r="I30" s="3" t="s">
        <v>33</v>
      </c>
      <c r="J30" s="3" t="s">
        <v>59</v>
      </c>
      <c r="K30" s="3">
        <v>3</v>
      </c>
      <c r="L30" s="3" t="s">
        <v>95</v>
      </c>
      <c r="M30" s="3">
        <v>2</v>
      </c>
      <c r="N30" s="3" t="s">
        <v>25</v>
      </c>
    </row>
    <row r="31" spans="1:14" x14ac:dyDescent="0.3">
      <c r="A31" s="2" t="s">
        <v>156</v>
      </c>
      <c r="B31" s="2" t="s">
        <v>72</v>
      </c>
      <c r="C31" s="2" t="s">
        <v>15</v>
      </c>
      <c r="D31" s="2" t="s">
        <v>38</v>
      </c>
      <c r="E31" s="2" t="s">
        <v>157</v>
      </c>
      <c r="F31" s="2" t="s">
        <v>83</v>
      </c>
      <c r="G31" s="2" t="s">
        <v>158</v>
      </c>
      <c r="H31" s="2" t="s">
        <v>20</v>
      </c>
      <c r="I31" s="2" t="s">
        <v>33</v>
      </c>
      <c r="J31" s="2" t="s">
        <v>43</v>
      </c>
      <c r="K31" s="2">
        <v>8</v>
      </c>
      <c r="L31" s="2" t="s">
        <v>95</v>
      </c>
      <c r="M31" s="2">
        <v>1</v>
      </c>
      <c r="N31" s="2" t="s">
        <v>24</v>
      </c>
    </row>
    <row r="32" spans="1:14" x14ac:dyDescent="0.3">
      <c r="A32" s="3" t="s">
        <v>159</v>
      </c>
      <c r="B32" s="3" t="s">
        <v>14</v>
      </c>
      <c r="C32" s="3" t="s">
        <v>100</v>
      </c>
      <c r="D32" s="3" t="s">
        <v>114</v>
      </c>
      <c r="E32" s="3" t="s">
        <v>160</v>
      </c>
      <c r="F32" s="3" t="s">
        <v>161</v>
      </c>
      <c r="G32" s="3" t="s">
        <v>162</v>
      </c>
      <c r="H32" s="3" t="s">
        <v>76</v>
      </c>
      <c r="I32" s="3" t="s">
        <v>33</v>
      </c>
      <c r="J32" s="3" t="s">
        <v>51</v>
      </c>
      <c r="K32" s="3">
        <v>5</v>
      </c>
      <c r="L32" s="3" t="s">
        <v>23</v>
      </c>
      <c r="M32" s="3">
        <v>2</v>
      </c>
      <c r="N32" s="3" t="s">
        <v>25</v>
      </c>
    </row>
    <row r="33" spans="1:14" x14ac:dyDescent="0.3">
      <c r="A33" s="2" t="s">
        <v>163</v>
      </c>
      <c r="B33" s="2" t="s">
        <v>53</v>
      </c>
      <c r="C33" s="2" t="s">
        <v>45</v>
      </c>
      <c r="D33" s="2" t="s">
        <v>164</v>
      </c>
      <c r="E33" s="2" t="s">
        <v>165</v>
      </c>
      <c r="F33" s="2" t="s">
        <v>166</v>
      </c>
      <c r="G33" s="2" t="s">
        <v>136</v>
      </c>
      <c r="H33" s="2" t="s">
        <v>167</v>
      </c>
      <c r="I33" s="2" t="s">
        <v>33</v>
      </c>
      <c r="J33" s="2" t="s">
        <v>43</v>
      </c>
      <c r="K33" s="2">
        <v>2</v>
      </c>
      <c r="L33" s="2" t="s">
        <v>34</v>
      </c>
      <c r="M33" s="2">
        <v>1</v>
      </c>
      <c r="N33" s="2" t="s">
        <v>24</v>
      </c>
    </row>
    <row r="34" spans="1:14" x14ac:dyDescent="0.3">
      <c r="A34" s="2"/>
      <c r="B34" s="2"/>
      <c r="C34" s="2"/>
      <c r="D34" s="2"/>
      <c r="E34" s="2"/>
      <c r="F34" s="2"/>
      <c r="G34" s="2"/>
      <c r="H34" s="2"/>
      <c r="I34" s="2"/>
      <c r="J34" s="2"/>
      <c r="K34" s="2"/>
      <c r="L34" s="2"/>
      <c r="M34" s="2"/>
      <c r="N34" s="2"/>
    </row>
    <row r="35" spans="1:14" x14ac:dyDescent="0.3">
      <c r="A35" s="3" t="s">
        <v>168</v>
      </c>
      <c r="B35" s="3" t="s">
        <v>169</v>
      </c>
      <c r="C35" s="3" t="s">
        <v>15</v>
      </c>
      <c r="D35" s="3" t="s">
        <v>164</v>
      </c>
      <c r="E35" s="3" t="s">
        <v>170</v>
      </c>
      <c r="F35" s="3" t="s">
        <v>63</v>
      </c>
      <c r="G35" s="3" t="s">
        <v>171</v>
      </c>
      <c r="H35" s="3" t="s">
        <v>172</v>
      </c>
      <c r="I35" s="3" t="s">
        <v>33</v>
      </c>
      <c r="J35" s="3" t="s">
        <v>43</v>
      </c>
      <c r="K35" s="3">
        <v>4</v>
      </c>
      <c r="L35" s="3" t="s">
        <v>60</v>
      </c>
      <c r="M35" s="3">
        <v>2</v>
      </c>
      <c r="N35" s="3" t="s">
        <v>25</v>
      </c>
    </row>
    <row r="36" spans="1:14" x14ac:dyDescent="0.3">
      <c r="A36" s="2" t="s">
        <v>173</v>
      </c>
      <c r="B36" s="2" t="s">
        <v>72</v>
      </c>
      <c r="C36" s="2" t="s">
        <v>45</v>
      </c>
      <c r="D36" s="2" t="s">
        <v>114</v>
      </c>
      <c r="E36" s="2" t="s">
        <v>174</v>
      </c>
      <c r="F36" s="2" t="s">
        <v>175</v>
      </c>
      <c r="G36" s="2" t="s">
        <v>176</v>
      </c>
      <c r="H36" s="2"/>
      <c r="I36" s="2" t="s">
        <v>33</v>
      </c>
      <c r="J36" s="2" t="s">
        <v>22</v>
      </c>
      <c r="K36" s="2">
        <v>6</v>
      </c>
      <c r="L36" s="2" t="s">
        <v>34</v>
      </c>
      <c r="M36" s="2">
        <v>1</v>
      </c>
      <c r="N36" s="2" t="s">
        <v>24</v>
      </c>
    </row>
    <row r="37" spans="1:14" x14ac:dyDescent="0.3">
      <c r="A37" s="3" t="s">
        <v>178</v>
      </c>
      <c r="B37" s="3" t="s">
        <v>72</v>
      </c>
      <c r="C37" s="3" t="s">
        <v>37</v>
      </c>
      <c r="D37" s="3" t="s">
        <v>28</v>
      </c>
      <c r="E37" s="3" t="s">
        <v>179</v>
      </c>
      <c r="F37" s="3" t="s">
        <v>180</v>
      </c>
      <c r="G37" s="3" t="s">
        <v>69</v>
      </c>
      <c r="H37" s="3" t="s">
        <v>181</v>
      </c>
      <c r="I37" s="3" t="s">
        <v>33</v>
      </c>
      <c r="J37" s="3" t="s">
        <v>43</v>
      </c>
      <c r="K37" s="3">
        <v>5</v>
      </c>
      <c r="L37" s="3" t="s">
        <v>60</v>
      </c>
      <c r="M37" s="3">
        <v>1</v>
      </c>
      <c r="N37" s="3" t="s">
        <v>24</v>
      </c>
    </row>
    <row r="38" spans="1:14" x14ac:dyDescent="0.3">
      <c r="A38" s="2" t="s">
        <v>182</v>
      </c>
      <c r="B38" s="2" t="s">
        <v>169</v>
      </c>
      <c r="C38" s="2" t="s">
        <v>15</v>
      </c>
      <c r="D38" s="2" t="s">
        <v>114</v>
      </c>
      <c r="E38" s="2" t="s">
        <v>183</v>
      </c>
      <c r="F38" s="2" t="s">
        <v>138</v>
      </c>
      <c r="G38" s="2" t="s">
        <v>184</v>
      </c>
      <c r="H38" s="2" t="s">
        <v>185</v>
      </c>
      <c r="I38" s="2" t="s">
        <v>21</v>
      </c>
      <c r="J38" s="2" t="s">
        <v>51</v>
      </c>
      <c r="K38" s="2">
        <v>6</v>
      </c>
      <c r="L38" s="2" t="s">
        <v>23</v>
      </c>
      <c r="M38" s="2">
        <v>1</v>
      </c>
      <c r="N38" s="2" t="s">
        <v>24</v>
      </c>
    </row>
    <row r="39" spans="1:14" x14ac:dyDescent="0.3">
      <c r="A39" s="3" t="s">
        <v>186</v>
      </c>
      <c r="B39" s="3" t="s">
        <v>53</v>
      </c>
      <c r="C39" s="3" t="s">
        <v>100</v>
      </c>
      <c r="D39" s="3" t="s">
        <v>28</v>
      </c>
      <c r="E39" s="3" t="s">
        <v>187</v>
      </c>
      <c r="F39" s="3" t="s">
        <v>188</v>
      </c>
      <c r="G39" s="3" t="s">
        <v>184</v>
      </c>
      <c r="H39" s="3" t="s">
        <v>189</v>
      </c>
      <c r="I39" s="3" t="s">
        <v>33</v>
      </c>
      <c r="J39" s="3" t="s">
        <v>22</v>
      </c>
      <c r="K39" s="3">
        <v>7</v>
      </c>
      <c r="L39" s="3" t="s">
        <v>95</v>
      </c>
      <c r="M39" s="3">
        <v>2</v>
      </c>
      <c r="N39" s="3" t="s">
        <v>25</v>
      </c>
    </row>
    <row r="40" spans="1:14" x14ac:dyDescent="0.3">
      <c r="A40" s="2" t="s">
        <v>190</v>
      </c>
      <c r="B40" s="2" t="s">
        <v>72</v>
      </c>
      <c r="C40" s="2" t="s">
        <v>100</v>
      </c>
      <c r="D40" s="2" t="s">
        <v>164</v>
      </c>
      <c r="E40" s="2" t="s">
        <v>165</v>
      </c>
      <c r="F40" s="2" t="s">
        <v>74</v>
      </c>
      <c r="G40" s="2" t="s">
        <v>41</v>
      </c>
      <c r="H40" s="2" t="s">
        <v>20</v>
      </c>
      <c r="I40" s="2" t="s">
        <v>33</v>
      </c>
      <c r="J40" s="2" t="s">
        <v>22</v>
      </c>
      <c r="K40" s="2">
        <v>4</v>
      </c>
      <c r="L40" s="2" t="s">
        <v>95</v>
      </c>
      <c r="M40" s="2">
        <v>2</v>
      </c>
      <c r="N40" s="2" t="s">
        <v>25</v>
      </c>
    </row>
    <row r="41" spans="1:14" x14ac:dyDescent="0.3">
      <c r="A41" s="3" t="s">
        <v>191</v>
      </c>
      <c r="B41" s="3"/>
      <c r="C41" s="3" t="s">
        <v>192</v>
      </c>
      <c r="D41" s="3" t="s">
        <v>28</v>
      </c>
      <c r="E41" s="3" t="s">
        <v>193</v>
      </c>
      <c r="F41" s="3" t="s">
        <v>194</v>
      </c>
      <c r="G41" s="3" t="s">
        <v>195</v>
      </c>
      <c r="H41" s="3" t="s">
        <v>196</v>
      </c>
      <c r="I41" s="3" t="s">
        <v>33</v>
      </c>
      <c r="J41" s="3" t="s">
        <v>22</v>
      </c>
      <c r="K41" s="3">
        <v>7</v>
      </c>
      <c r="L41" s="3" t="s">
        <v>34</v>
      </c>
      <c r="M41" s="3">
        <v>1</v>
      </c>
      <c r="N41" s="3" t="s">
        <v>24</v>
      </c>
    </row>
    <row r="42" spans="1:14" x14ac:dyDescent="0.3">
      <c r="A42" s="2" t="s">
        <v>197</v>
      </c>
      <c r="B42" s="2" t="s">
        <v>72</v>
      </c>
      <c r="C42" s="2" t="s">
        <v>141</v>
      </c>
      <c r="D42" s="2" t="s">
        <v>198</v>
      </c>
      <c r="E42" s="2" t="s">
        <v>199</v>
      </c>
      <c r="F42" s="2" t="s">
        <v>135</v>
      </c>
      <c r="G42" s="2" t="s">
        <v>150</v>
      </c>
      <c r="H42" s="2" t="s">
        <v>144</v>
      </c>
      <c r="I42" s="2" t="s">
        <v>33</v>
      </c>
      <c r="J42" s="2" t="s">
        <v>22</v>
      </c>
      <c r="K42" s="2">
        <v>4</v>
      </c>
      <c r="L42" s="2" t="s">
        <v>60</v>
      </c>
      <c r="M42" s="2">
        <v>2</v>
      </c>
      <c r="N42" s="2" t="s">
        <v>25</v>
      </c>
    </row>
    <row r="43" spans="1:14" x14ac:dyDescent="0.3">
      <c r="A43" s="3" t="s">
        <v>200</v>
      </c>
      <c r="B43" s="3" t="s">
        <v>36</v>
      </c>
      <c r="C43" s="3" t="s">
        <v>133</v>
      </c>
      <c r="D43" s="3" t="s">
        <v>46</v>
      </c>
      <c r="E43" s="3" t="s">
        <v>201</v>
      </c>
      <c r="F43" s="3"/>
      <c r="G43" s="3" t="s">
        <v>202</v>
      </c>
      <c r="H43" s="3" t="s">
        <v>50</v>
      </c>
      <c r="I43" s="3" t="s">
        <v>21</v>
      </c>
      <c r="J43" s="3" t="s">
        <v>59</v>
      </c>
      <c r="K43" s="3">
        <v>4</v>
      </c>
      <c r="L43" s="3" t="s">
        <v>34</v>
      </c>
      <c r="M43" s="3">
        <v>1</v>
      </c>
      <c r="N43" s="3" t="s">
        <v>24</v>
      </c>
    </row>
    <row r="44" spans="1:14" x14ac:dyDescent="0.3">
      <c r="A44" s="2" t="s">
        <v>203</v>
      </c>
      <c r="B44" s="2" t="s">
        <v>36</v>
      </c>
      <c r="C44" s="2" t="s">
        <v>86</v>
      </c>
      <c r="D44" s="2" t="s">
        <v>16</v>
      </c>
      <c r="E44" s="2" t="s">
        <v>204</v>
      </c>
      <c r="F44" s="2" t="s">
        <v>180</v>
      </c>
      <c r="G44" s="2" t="s">
        <v>154</v>
      </c>
      <c r="H44" s="2" t="s">
        <v>205</v>
      </c>
      <c r="I44" s="2" t="s">
        <v>21</v>
      </c>
      <c r="J44" s="2" t="s">
        <v>22</v>
      </c>
      <c r="K44" s="2">
        <v>7</v>
      </c>
      <c r="L44" s="2" t="s">
        <v>23</v>
      </c>
      <c r="M44" s="2">
        <v>1</v>
      </c>
      <c r="N44" s="2" t="s">
        <v>24</v>
      </c>
    </row>
    <row r="45" spans="1:14" x14ac:dyDescent="0.3">
      <c r="A45" s="3" t="s">
        <v>206</v>
      </c>
      <c r="B45" s="3" t="s">
        <v>169</v>
      </c>
      <c r="C45" s="3" t="s">
        <v>54</v>
      </c>
      <c r="D45" s="3" t="s">
        <v>66</v>
      </c>
      <c r="E45" s="3" t="s">
        <v>207</v>
      </c>
      <c r="F45" s="3" t="s">
        <v>208</v>
      </c>
      <c r="G45" s="3" t="s">
        <v>19</v>
      </c>
      <c r="H45" s="3" t="s">
        <v>32</v>
      </c>
      <c r="I45" s="3" t="s">
        <v>21</v>
      </c>
      <c r="J45" s="3" t="s">
        <v>22</v>
      </c>
      <c r="K45" s="3">
        <v>4</v>
      </c>
      <c r="L45" s="3" t="s">
        <v>60</v>
      </c>
      <c r="M45" s="3">
        <v>1</v>
      </c>
      <c r="N45" s="3" t="s">
        <v>24</v>
      </c>
    </row>
    <row r="46" spans="1:14" x14ac:dyDescent="0.3">
      <c r="A46" s="2" t="s">
        <v>209</v>
      </c>
      <c r="B46" s="2" t="s">
        <v>72</v>
      </c>
      <c r="C46" s="2" t="s">
        <v>54</v>
      </c>
      <c r="D46" s="2" t="s">
        <v>66</v>
      </c>
      <c r="E46" s="2" t="s">
        <v>210</v>
      </c>
      <c r="F46" s="2" t="s">
        <v>211</v>
      </c>
      <c r="G46" s="2" t="s">
        <v>158</v>
      </c>
      <c r="H46" s="2" t="s">
        <v>212</v>
      </c>
      <c r="I46" s="2" t="s">
        <v>21</v>
      </c>
      <c r="J46" s="2" t="s">
        <v>43</v>
      </c>
      <c r="K46" s="2">
        <v>7</v>
      </c>
      <c r="L46" s="2" t="s">
        <v>23</v>
      </c>
      <c r="M46" s="2">
        <v>1</v>
      </c>
      <c r="N46" s="2" t="s">
        <v>24</v>
      </c>
    </row>
    <row r="47" spans="1:14" x14ac:dyDescent="0.3">
      <c r="A47" s="3" t="s">
        <v>213</v>
      </c>
      <c r="B47" s="3" t="s">
        <v>53</v>
      </c>
      <c r="C47" s="3" t="s">
        <v>141</v>
      </c>
      <c r="D47" s="3" t="s">
        <v>38</v>
      </c>
      <c r="E47" s="3" t="s">
        <v>214</v>
      </c>
      <c r="F47" s="3" t="s">
        <v>138</v>
      </c>
      <c r="G47" s="3" t="s">
        <v>215</v>
      </c>
      <c r="H47" s="3" t="s">
        <v>216</v>
      </c>
      <c r="I47" s="3" t="s">
        <v>33</v>
      </c>
      <c r="J47" s="3" t="s">
        <v>22</v>
      </c>
      <c r="K47" s="3">
        <v>6</v>
      </c>
      <c r="L47" s="3" t="s">
        <v>60</v>
      </c>
      <c r="M47" s="3">
        <v>2</v>
      </c>
      <c r="N47" s="3" t="s">
        <v>25</v>
      </c>
    </row>
    <row r="48" spans="1:14" x14ac:dyDescent="0.3">
      <c r="A48" s="2" t="s">
        <v>217</v>
      </c>
      <c r="B48" s="2" t="s">
        <v>169</v>
      </c>
      <c r="C48" s="2" t="s">
        <v>100</v>
      </c>
      <c r="D48" s="2" t="s">
        <v>164</v>
      </c>
      <c r="E48" s="2" t="s">
        <v>218</v>
      </c>
      <c r="F48" s="2" t="s">
        <v>135</v>
      </c>
      <c r="G48" s="2" t="s">
        <v>202</v>
      </c>
      <c r="H48" s="2" t="s">
        <v>205</v>
      </c>
      <c r="I48" s="2" t="s">
        <v>33</v>
      </c>
      <c r="J48" s="2" t="s">
        <v>51</v>
      </c>
      <c r="K48" s="2">
        <v>4</v>
      </c>
      <c r="L48" s="2" t="s">
        <v>23</v>
      </c>
      <c r="M48" s="2">
        <v>2</v>
      </c>
      <c r="N48" s="2" t="s">
        <v>25</v>
      </c>
    </row>
    <row r="49" spans="1:14" x14ac:dyDescent="0.3">
      <c r="A49" s="3" t="s">
        <v>219</v>
      </c>
      <c r="B49" s="3" t="s">
        <v>27</v>
      </c>
      <c r="C49" s="3" t="s">
        <v>37</v>
      </c>
      <c r="D49" s="3" t="s">
        <v>28</v>
      </c>
      <c r="E49" s="3" t="s">
        <v>187</v>
      </c>
      <c r="F49" s="3" t="s">
        <v>188</v>
      </c>
      <c r="G49" s="3" t="s">
        <v>220</v>
      </c>
      <c r="H49" s="3" t="s">
        <v>221</v>
      </c>
      <c r="I49" s="3" t="s">
        <v>33</v>
      </c>
      <c r="J49" s="3" t="s">
        <v>43</v>
      </c>
      <c r="K49" s="3">
        <v>4</v>
      </c>
      <c r="L49" s="3" t="s">
        <v>34</v>
      </c>
      <c r="M49" s="3">
        <v>2</v>
      </c>
      <c r="N49" s="3" t="s">
        <v>25</v>
      </c>
    </row>
    <row r="50" spans="1:14" x14ac:dyDescent="0.3">
      <c r="A50" s="2" t="s">
        <v>222</v>
      </c>
      <c r="B50" s="2" t="s">
        <v>14</v>
      </c>
      <c r="C50" s="2" t="s">
        <v>141</v>
      </c>
      <c r="D50" s="2" t="s">
        <v>38</v>
      </c>
      <c r="E50" s="2" t="s">
        <v>223</v>
      </c>
      <c r="F50" s="2" t="s">
        <v>63</v>
      </c>
      <c r="G50" s="2" t="s">
        <v>75</v>
      </c>
      <c r="H50" s="2" t="s">
        <v>224</v>
      </c>
      <c r="I50" s="2" t="s">
        <v>33</v>
      </c>
      <c r="J50" s="2" t="s">
        <v>51</v>
      </c>
      <c r="K50" s="2">
        <v>7</v>
      </c>
      <c r="L50" s="2" t="s">
        <v>34</v>
      </c>
      <c r="M50" s="2">
        <v>2</v>
      </c>
      <c r="N50" s="2" t="s">
        <v>25</v>
      </c>
    </row>
    <row r="51" spans="1:14" x14ac:dyDescent="0.3">
      <c r="A51" s="3" t="s">
        <v>225</v>
      </c>
      <c r="B51" s="3" t="s">
        <v>72</v>
      </c>
      <c r="C51" s="3" t="s">
        <v>45</v>
      </c>
      <c r="D51" s="3"/>
      <c r="E51" s="3" t="s">
        <v>226</v>
      </c>
      <c r="F51" s="3" t="s">
        <v>110</v>
      </c>
      <c r="G51" s="3" t="s">
        <v>69</v>
      </c>
      <c r="H51" s="3" t="s">
        <v>227</v>
      </c>
      <c r="I51" s="3" t="s">
        <v>33</v>
      </c>
      <c r="J51" s="3" t="s">
        <v>22</v>
      </c>
      <c r="K51" s="3">
        <v>6</v>
      </c>
      <c r="L51" s="3" t="s">
        <v>23</v>
      </c>
      <c r="M51" s="3">
        <v>1</v>
      </c>
      <c r="N51" s="3" t="s">
        <v>24</v>
      </c>
    </row>
    <row r="52" spans="1:14" x14ac:dyDescent="0.3">
      <c r="A52" s="2" t="s">
        <v>228</v>
      </c>
      <c r="B52" s="2" t="s">
        <v>169</v>
      </c>
      <c r="C52" s="2" t="s">
        <v>133</v>
      </c>
      <c r="D52" s="2" t="s">
        <v>164</v>
      </c>
      <c r="E52" s="2" t="s">
        <v>229</v>
      </c>
      <c r="F52" s="2" t="s">
        <v>230</v>
      </c>
      <c r="G52" s="2" t="s">
        <v>57</v>
      </c>
      <c r="H52" s="2" t="s">
        <v>155</v>
      </c>
      <c r="I52" s="2" t="s">
        <v>33</v>
      </c>
      <c r="J52" s="2" t="s">
        <v>22</v>
      </c>
      <c r="K52" s="2">
        <v>3</v>
      </c>
      <c r="L52" s="2" t="s">
        <v>60</v>
      </c>
      <c r="M52" s="2">
        <v>2</v>
      </c>
      <c r="N52" s="2" t="s">
        <v>25</v>
      </c>
    </row>
    <row r="53" spans="1:14" x14ac:dyDescent="0.3">
      <c r="A53" s="3" t="s">
        <v>231</v>
      </c>
      <c r="B53" s="3" t="s">
        <v>36</v>
      </c>
      <c r="C53" s="3" t="s">
        <v>15</v>
      </c>
      <c r="D53" s="3" t="s">
        <v>164</v>
      </c>
      <c r="E53" s="3" t="s">
        <v>232</v>
      </c>
      <c r="F53" s="3" t="s">
        <v>233</v>
      </c>
      <c r="G53" s="3" t="s">
        <v>234</v>
      </c>
      <c r="H53" s="3" t="s">
        <v>235</v>
      </c>
      <c r="I53" s="3" t="s">
        <v>33</v>
      </c>
      <c r="J53" s="3" t="s">
        <v>59</v>
      </c>
      <c r="K53" s="3">
        <v>8</v>
      </c>
      <c r="L53" s="3" t="s">
        <v>34</v>
      </c>
      <c r="M53" s="3">
        <v>1</v>
      </c>
      <c r="N53" s="3" t="s">
        <v>24</v>
      </c>
    </row>
    <row r="54" spans="1:14" x14ac:dyDescent="0.3">
      <c r="A54" s="2" t="s">
        <v>236</v>
      </c>
      <c r="B54" s="2" t="s">
        <v>518</v>
      </c>
      <c r="C54" s="2" t="s">
        <v>15</v>
      </c>
      <c r="D54" s="2" t="s">
        <v>198</v>
      </c>
      <c r="E54" s="2" t="s">
        <v>237</v>
      </c>
      <c r="F54" s="2" t="s">
        <v>68</v>
      </c>
      <c r="G54" s="2" t="s">
        <v>136</v>
      </c>
      <c r="H54" s="2" t="s">
        <v>42</v>
      </c>
      <c r="I54" s="2" t="s">
        <v>33</v>
      </c>
      <c r="J54" s="2" t="s">
        <v>51</v>
      </c>
      <c r="K54" s="2">
        <v>5</v>
      </c>
      <c r="L54" s="2" t="s">
        <v>23</v>
      </c>
      <c r="M54" s="2">
        <v>2</v>
      </c>
      <c r="N54" s="2" t="s">
        <v>25</v>
      </c>
    </row>
    <row r="55" spans="1:14" x14ac:dyDescent="0.3">
      <c r="A55" s="3" t="s">
        <v>238</v>
      </c>
      <c r="B55" s="3" t="s">
        <v>27</v>
      </c>
      <c r="C55" s="3" t="s">
        <v>15</v>
      </c>
      <c r="D55" s="3" t="s">
        <v>28</v>
      </c>
      <c r="E55" s="3" t="s">
        <v>29</v>
      </c>
      <c r="F55" s="3" t="s">
        <v>180</v>
      </c>
      <c r="G55" s="3" t="s">
        <v>184</v>
      </c>
      <c r="H55" s="3" t="s">
        <v>94</v>
      </c>
      <c r="I55" s="3" t="s">
        <v>33</v>
      </c>
      <c r="J55" s="3" t="s">
        <v>43</v>
      </c>
      <c r="K55" s="3">
        <v>2</v>
      </c>
      <c r="L55" s="3" t="s">
        <v>60</v>
      </c>
      <c r="M55" s="3">
        <v>1</v>
      </c>
      <c r="N55" s="3" t="s">
        <v>24</v>
      </c>
    </row>
    <row r="56" spans="1:14" x14ac:dyDescent="0.3">
      <c r="A56" s="2" t="s">
        <v>239</v>
      </c>
      <c r="B56" s="2" t="s">
        <v>169</v>
      </c>
      <c r="C56" s="2" t="s">
        <v>86</v>
      </c>
      <c r="D56" s="2" t="s">
        <v>28</v>
      </c>
      <c r="E56" s="2" t="s">
        <v>240</v>
      </c>
      <c r="F56" s="2" t="s">
        <v>161</v>
      </c>
      <c r="G56" s="2" t="s">
        <v>241</v>
      </c>
      <c r="H56" s="2" t="s">
        <v>172</v>
      </c>
      <c r="I56" s="2" t="s">
        <v>33</v>
      </c>
      <c r="J56" s="2" t="s">
        <v>51</v>
      </c>
      <c r="K56" s="2">
        <v>8</v>
      </c>
      <c r="L56" s="2" t="s">
        <v>60</v>
      </c>
      <c r="M56" s="2">
        <v>1</v>
      </c>
      <c r="N56" s="2" t="s">
        <v>24</v>
      </c>
    </row>
    <row r="57" spans="1:14" x14ac:dyDescent="0.3">
      <c r="A57" s="3" t="s">
        <v>242</v>
      </c>
      <c r="B57" s="3" t="s">
        <v>36</v>
      </c>
      <c r="C57" s="3" t="s">
        <v>45</v>
      </c>
      <c r="D57" s="3" t="s">
        <v>28</v>
      </c>
      <c r="E57" s="3" t="s">
        <v>243</v>
      </c>
      <c r="F57" s="3" t="s">
        <v>194</v>
      </c>
      <c r="G57" s="3" t="s">
        <v>202</v>
      </c>
      <c r="H57" s="3" t="s">
        <v>167</v>
      </c>
      <c r="I57" s="3" t="s">
        <v>33</v>
      </c>
      <c r="J57" s="3" t="s">
        <v>59</v>
      </c>
      <c r="K57" s="3">
        <v>4</v>
      </c>
      <c r="L57" s="3" t="s">
        <v>34</v>
      </c>
      <c r="M57" s="3">
        <v>2</v>
      </c>
      <c r="N57" s="3" t="s">
        <v>25</v>
      </c>
    </row>
    <row r="58" spans="1:14" x14ac:dyDescent="0.3">
      <c r="A58" s="2" t="s">
        <v>244</v>
      </c>
      <c r="B58" s="2" t="s">
        <v>14</v>
      </c>
      <c r="C58" s="2" t="s">
        <v>133</v>
      </c>
      <c r="D58" s="2" t="s">
        <v>16</v>
      </c>
      <c r="E58" s="2" t="s">
        <v>62</v>
      </c>
      <c r="F58" s="2" t="s">
        <v>188</v>
      </c>
      <c r="G58" s="2" t="s">
        <v>176</v>
      </c>
      <c r="H58" s="2" t="s">
        <v>84</v>
      </c>
      <c r="I58" s="2" t="s">
        <v>21</v>
      </c>
      <c r="J58" s="2" t="s">
        <v>51</v>
      </c>
      <c r="K58" s="2">
        <v>1</v>
      </c>
      <c r="L58" s="2" t="s">
        <v>23</v>
      </c>
      <c r="M58" s="2">
        <v>1</v>
      </c>
      <c r="N58" s="2" t="s">
        <v>24</v>
      </c>
    </row>
    <row r="59" spans="1:14" x14ac:dyDescent="0.3">
      <c r="A59" s="3" t="s">
        <v>245</v>
      </c>
      <c r="B59" s="3" t="s">
        <v>27</v>
      </c>
      <c r="C59" s="3" t="s">
        <v>141</v>
      </c>
      <c r="D59" s="3" t="s">
        <v>198</v>
      </c>
      <c r="E59" s="3" t="s">
        <v>246</v>
      </c>
      <c r="F59" s="3" t="s">
        <v>110</v>
      </c>
      <c r="G59" s="3" t="s">
        <v>184</v>
      </c>
      <c r="H59" s="3" t="s">
        <v>247</v>
      </c>
      <c r="I59" s="3"/>
      <c r="J59" s="3" t="s">
        <v>51</v>
      </c>
      <c r="K59" s="3">
        <v>3</v>
      </c>
      <c r="L59" s="3" t="s">
        <v>23</v>
      </c>
      <c r="M59" s="3">
        <v>2</v>
      </c>
      <c r="N59" s="3" t="s">
        <v>25</v>
      </c>
    </row>
    <row r="60" spans="1:14" x14ac:dyDescent="0.3">
      <c r="A60" s="2" t="s">
        <v>248</v>
      </c>
      <c r="B60" s="2" t="s">
        <v>169</v>
      </c>
      <c r="C60" s="2" t="s">
        <v>45</v>
      </c>
      <c r="D60" s="2" t="s">
        <v>16</v>
      </c>
      <c r="E60" s="2" t="s">
        <v>249</v>
      </c>
      <c r="F60" s="2" t="s">
        <v>250</v>
      </c>
      <c r="G60" s="2" t="s">
        <v>251</v>
      </c>
      <c r="H60" s="2" t="s">
        <v>205</v>
      </c>
      <c r="I60" s="2" t="s">
        <v>21</v>
      </c>
      <c r="J60" s="2" t="s">
        <v>59</v>
      </c>
      <c r="K60" s="2">
        <v>5</v>
      </c>
      <c r="L60" s="2" t="s">
        <v>23</v>
      </c>
      <c r="M60" s="2">
        <v>1</v>
      </c>
      <c r="N60" s="2" t="s">
        <v>24</v>
      </c>
    </row>
    <row r="61" spans="1:14" x14ac:dyDescent="0.3">
      <c r="A61" s="3" t="s">
        <v>252</v>
      </c>
      <c r="B61" s="3" t="s">
        <v>27</v>
      </c>
      <c r="C61" s="3" t="s">
        <v>54</v>
      </c>
      <c r="D61" s="3" t="s">
        <v>164</v>
      </c>
      <c r="E61" s="3" t="s">
        <v>253</v>
      </c>
      <c r="F61" s="3" t="s">
        <v>63</v>
      </c>
      <c r="G61" s="3" t="s">
        <v>116</v>
      </c>
      <c r="H61" s="3" t="s">
        <v>181</v>
      </c>
      <c r="I61" s="3" t="s">
        <v>33</v>
      </c>
      <c r="J61" s="3" t="s">
        <v>22</v>
      </c>
      <c r="K61" s="3">
        <v>5</v>
      </c>
      <c r="L61" s="3" t="s">
        <v>23</v>
      </c>
      <c r="M61" s="3">
        <v>2</v>
      </c>
      <c r="N61" s="3" t="s">
        <v>25</v>
      </c>
    </row>
    <row r="62" spans="1:14" x14ac:dyDescent="0.3">
      <c r="A62" s="2" t="s">
        <v>254</v>
      </c>
      <c r="B62" s="2" t="s">
        <v>14</v>
      </c>
      <c r="C62" s="2" t="s">
        <v>15</v>
      </c>
      <c r="D62" s="2" t="s">
        <v>28</v>
      </c>
      <c r="E62" s="2" t="s">
        <v>255</v>
      </c>
      <c r="F62" s="2" t="s">
        <v>135</v>
      </c>
      <c r="G62" s="2" t="s">
        <v>103</v>
      </c>
      <c r="H62" s="2" t="s">
        <v>189</v>
      </c>
      <c r="I62" s="2" t="s">
        <v>33</v>
      </c>
      <c r="J62" s="2" t="s">
        <v>59</v>
      </c>
      <c r="K62" s="2">
        <v>1</v>
      </c>
      <c r="L62" s="2" t="s">
        <v>34</v>
      </c>
      <c r="M62" s="2">
        <v>2</v>
      </c>
      <c r="N62" s="2" t="s">
        <v>25</v>
      </c>
    </row>
    <row r="63" spans="1:14" x14ac:dyDescent="0.3">
      <c r="A63" s="3" t="s">
        <v>256</v>
      </c>
      <c r="B63" s="3" t="s">
        <v>36</v>
      </c>
      <c r="C63" s="3" t="s">
        <v>141</v>
      </c>
      <c r="D63" s="3"/>
      <c r="E63" s="3" t="s">
        <v>257</v>
      </c>
      <c r="F63" s="3" t="s">
        <v>48</v>
      </c>
      <c r="G63" s="3" t="s">
        <v>57</v>
      </c>
      <c r="H63" s="3" t="s">
        <v>189</v>
      </c>
      <c r="I63" s="3" t="s">
        <v>33</v>
      </c>
      <c r="J63" s="3" t="s">
        <v>59</v>
      </c>
      <c r="K63" s="3">
        <v>5</v>
      </c>
      <c r="L63" s="3" t="s">
        <v>95</v>
      </c>
      <c r="M63" s="3">
        <v>2</v>
      </c>
      <c r="N63" s="3" t="s">
        <v>25</v>
      </c>
    </row>
    <row r="64" spans="1:14" x14ac:dyDescent="0.3">
      <c r="A64" s="2" t="s">
        <v>258</v>
      </c>
      <c r="B64" s="2" t="s">
        <v>14</v>
      </c>
      <c r="C64" s="2" t="s">
        <v>45</v>
      </c>
      <c r="D64" s="2" t="s">
        <v>28</v>
      </c>
      <c r="E64" s="2" t="s">
        <v>126</v>
      </c>
      <c r="F64" s="2" t="s">
        <v>79</v>
      </c>
      <c r="G64" s="2" t="s">
        <v>158</v>
      </c>
      <c r="H64" s="2" t="s">
        <v>181</v>
      </c>
      <c r="I64" s="2" t="s">
        <v>33</v>
      </c>
      <c r="J64" s="2" t="s">
        <v>22</v>
      </c>
      <c r="K64" s="2">
        <v>2</v>
      </c>
      <c r="L64" s="2" t="s">
        <v>34</v>
      </c>
      <c r="M64" s="2">
        <v>1</v>
      </c>
      <c r="N64" s="2" t="s">
        <v>24</v>
      </c>
    </row>
    <row r="65" spans="1:14" x14ac:dyDescent="0.3">
      <c r="A65" s="3" t="s">
        <v>259</v>
      </c>
      <c r="B65" s="3" t="s">
        <v>169</v>
      </c>
      <c r="C65" s="3" t="s">
        <v>45</v>
      </c>
      <c r="D65" s="3" t="s">
        <v>46</v>
      </c>
      <c r="E65" s="3" t="s">
        <v>142</v>
      </c>
      <c r="F65" s="3" t="s">
        <v>30</v>
      </c>
      <c r="G65" s="3" t="s">
        <v>171</v>
      </c>
      <c r="H65" s="3" t="s">
        <v>172</v>
      </c>
      <c r="I65" s="3" t="s">
        <v>33</v>
      </c>
      <c r="J65" s="3" t="s">
        <v>51</v>
      </c>
      <c r="K65" s="3">
        <v>1</v>
      </c>
      <c r="L65" s="3" t="s">
        <v>23</v>
      </c>
      <c r="M65" s="3">
        <v>1</v>
      </c>
      <c r="N65" s="3" t="s">
        <v>24</v>
      </c>
    </row>
    <row r="66" spans="1:14" x14ac:dyDescent="0.3">
      <c r="A66" s="2" t="s">
        <v>260</v>
      </c>
      <c r="B66" s="2" t="s">
        <v>14</v>
      </c>
      <c r="C66" s="2" t="s">
        <v>192</v>
      </c>
      <c r="D66" s="2" t="s">
        <v>46</v>
      </c>
      <c r="E66" s="2" t="s">
        <v>261</v>
      </c>
      <c r="F66" s="2" t="s">
        <v>262</v>
      </c>
      <c r="G66" s="2" t="s">
        <v>31</v>
      </c>
      <c r="H66" s="2" t="s">
        <v>247</v>
      </c>
      <c r="I66" s="2" t="s">
        <v>33</v>
      </c>
      <c r="J66" s="2" t="s">
        <v>51</v>
      </c>
      <c r="K66" s="2">
        <v>3</v>
      </c>
      <c r="L66" s="2" t="s">
        <v>34</v>
      </c>
      <c r="M66" s="2">
        <v>2</v>
      </c>
      <c r="N66" s="2" t="s">
        <v>25</v>
      </c>
    </row>
    <row r="67" spans="1:14" x14ac:dyDescent="0.3">
      <c r="A67" s="3" t="s">
        <v>263</v>
      </c>
      <c r="B67" s="3" t="s">
        <v>36</v>
      </c>
      <c r="C67" s="3" t="s">
        <v>133</v>
      </c>
      <c r="D67" s="3" t="s">
        <v>198</v>
      </c>
      <c r="E67" s="3" t="s">
        <v>264</v>
      </c>
      <c r="F67" s="3" t="s">
        <v>208</v>
      </c>
      <c r="G67" s="3" t="s">
        <v>265</v>
      </c>
      <c r="H67" s="3" t="s">
        <v>185</v>
      </c>
      <c r="I67" s="3" t="s">
        <v>33</v>
      </c>
      <c r="J67" s="3" t="s">
        <v>22</v>
      </c>
      <c r="K67" s="3">
        <v>8</v>
      </c>
      <c r="L67" s="3" t="s">
        <v>60</v>
      </c>
      <c r="M67" s="3">
        <v>1</v>
      </c>
      <c r="N67" s="3" t="s">
        <v>24</v>
      </c>
    </row>
    <row r="68" spans="1:14" x14ac:dyDescent="0.3">
      <c r="A68" s="2" t="s">
        <v>266</v>
      </c>
      <c r="B68" s="2" t="s">
        <v>516</v>
      </c>
      <c r="C68" s="2" t="s">
        <v>133</v>
      </c>
      <c r="D68" s="2" t="s">
        <v>198</v>
      </c>
      <c r="E68" s="2" t="s">
        <v>267</v>
      </c>
      <c r="F68" s="2" t="s">
        <v>56</v>
      </c>
      <c r="G68" s="2" t="s">
        <v>150</v>
      </c>
      <c r="H68" s="2" t="s">
        <v>76</v>
      </c>
      <c r="I68" s="2" t="s">
        <v>21</v>
      </c>
      <c r="J68" s="2" t="s">
        <v>22</v>
      </c>
      <c r="K68" s="2">
        <v>7</v>
      </c>
      <c r="L68" s="2" t="s">
        <v>23</v>
      </c>
      <c r="M68" s="2">
        <v>1</v>
      </c>
      <c r="N68" s="2" t="s">
        <v>24</v>
      </c>
    </row>
    <row r="69" spans="1:14" x14ac:dyDescent="0.3">
      <c r="A69" s="3" t="s">
        <v>268</v>
      </c>
      <c r="B69" s="3" t="s">
        <v>14</v>
      </c>
      <c r="C69" s="3" t="s">
        <v>141</v>
      </c>
      <c r="D69" s="3" t="s">
        <v>198</v>
      </c>
      <c r="E69" s="3" t="s">
        <v>269</v>
      </c>
      <c r="F69" s="3" t="s">
        <v>120</v>
      </c>
      <c r="G69" s="3" t="s">
        <v>220</v>
      </c>
      <c r="H69" s="3" t="s">
        <v>270</v>
      </c>
      <c r="I69" s="3" t="s">
        <v>33</v>
      </c>
      <c r="J69" s="3" t="s">
        <v>22</v>
      </c>
      <c r="K69" s="3">
        <v>8</v>
      </c>
      <c r="L69" s="3" t="s">
        <v>23</v>
      </c>
      <c r="M69" s="3">
        <v>2</v>
      </c>
      <c r="N69" s="3" t="s">
        <v>25</v>
      </c>
    </row>
    <row r="70" spans="1:14" x14ac:dyDescent="0.3">
      <c r="A70" s="2" t="s">
        <v>271</v>
      </c>
      <c r="B70" s="2" t="s">
        <v>27</v>
      </c>
      <c r="C70" s="2" t="s">
        <v>54</v>
      </c>
      <c r="D70" s="2" t="s">
        <v>38</v>
      </c>
      <c r="E70" s="2" t="s">
        <v>272</v>
      </c>
      <c r="F70" s="2" t="s">
        <v>161</v>
      </c>
      <c r="G70" s="2" t="s">
        <v>273</v>
      </c>
      <c r="H70" s="2" t="s">
        <v>274</v>
      </c>
      <c r="I70" s="2" t="s">
        <v>33</v>
      </c>
      <c r="J70" s="2" t="s">
        <v>22</v>
      </c>
      <c r="K70" s="2">
        <v>2</v>
      </c>
      <c r="L70" s="2" t="s">
        <v>95</v>
      </c>
      <c r="M70" s="2">
        <v>2</v>
      </c>
      <c r="N70" s="2" t="s">
        <v>25</v>
      </c>
    </row>
    <row r="71" spans="1:14" x14ac:dyDescent="0.3">
      <c r="A71" s="3" t="s">
        <v>275</v>
      </c>
      <c r="B71" s="3" t="s">
        <v>169</v>
      </c>
      <c r="C71" s="3" t="s">
        <v>15</v>
      </c>
      <c r="D71" s="3" t="s">
        <v>46</v>
      </c>
      <c r="E71" s="3" t="s">
        <v>276</v>
      </c>
      <c r="F71" s="3" t="s">
        <v>180</v>
      </c>
      <c r="G71" s="3" t="s">
        <v>103</v>
      </c>
      <c r="H71" s="3" t="s">
        <v>155</v>
      </c>
      <c r="I71" s="3" t="s">
        <v>33</v>
      </c>
      <c r="J71" s="3" t="s">
        <v>59</v>
      </c>
      <c r="K71" s="3">
        <v>3</v>
      </c>
      <c r="L71" s="3" t="s">
        <v>23</v>
      </c>
      <c r="M71" s="3">
        <v>1</v>
      </c>
      <c r="N71" s="3" t="s">
        <v>24</v>
      </c>
    </row>
    <row r="72" spans="1:14" x14ac:dyDescent="0.3">
      <c r="A72" s="2" t="s">
        <v>277</v>
      </c>
      <c r="B72" s="2" t="s">
        <v>53</v>
      </c>
      <c r="C72" s="2" t="s">
        <v>141</v>
      </c>
      <c r="D72" s="2" t="s">
        <v>114</v>
      </c>
      <c r="E72" s="2" t="s">
        <v>174</v>
      </c>
      <c r="F72" s="2"/>
      <c r="G72" s="2" t="s">
        <v>176</v>
      </c>
      <c r="H72" s="2" t="s">
        <v>278</v>
      </c>
      <c r="I72" s="2" t="s">
        <v>33</v>
      </c>
      <c r="J72" s="2" t="s">
        <v>59</v>
      </c>
      <c r="K72" s="2">
        <v>8</v>
      </c>
      <c r="L72" s="2" t="s">
        <v>34</v>
      </c>
      <c r="M72" s="2">
        <v>1</v>
      </c>
      <c r="N72" s="2" t="s">
        <v>24</v>
      </c>
    </row>
    <row r="73" spans="1:14" x14ac:dyDescent="0.3">
      <c r="A73" s="3" t="s">
        <v>279</v>
      </c>
      <c r="B73" s="3" t="s">
        <v>14</v>
      </c>
      <c r="C73" s="3" t="s">
        <v>15</v>
      </c>
      <c r="D73" s="3" t="s">
        <v>164</v>
      </c>
      <c r="E73" s="3" t="s">
        <v>280</v>
      </c>
      <c r="F73" s="3" t="s">
        <v>138</v>
      </c>
      <c r="G73" s="3" t="s">
        <v>49</v>
      </c>
      <c r="H73" s="3" t="s">
        <v>104</v>
      </c>
      <c r="I73" s="3" t="s">
        <v>33</v>
      </c>
      <c r="J73" s="3" t="s">
        <v>43</v>
      </c>
      <c r="K73" s="3">
        <v>6</v>
      </c>
      <c r="L73" s="3" t="s">
        <v>34</v>
      </c>
      <c r="M73" s="3">
        <v>1</v>
      </c>
      <c r="N73" s="3" t="s">
        <v>24</v>
      </c>
    </row>
    <row r="74" spans="1:14" x14ac:dyDescent="0.3">
      <c r="A74" s="2" t="s">
        <v>281</v>
      </c>
      <c r="B74" s="2" t="s">
        <v>14</v>
      </c>
      <c r="C74" s="2" t="s">
        <v>86</v>
      </c>
      <c r="D74" s="2" t="s">
        <v>38</v>
      </c>
      <c r="E74" s="2" t="s">
        <v>282</v>
      </c>
      <c r="F74" s="2" t="s">
        <v>230</v>
      </c>
      <c r="G74" s="2" t="s">
        <v>283</v>
      </c>
      <c r="H74" s="2" t="s">
        <v>20</v>
      </c>
      <c r="I74" s="2" t="s">
        <v>33</v>
      </c>
      <c r="J74" s="2"/>
      <c r="K74" s="2">
        <v>2</v>
      </c>
      <c r="L74" s="2" t="s">
        <v>34</v>
      </c>
      <c r="M74" s="2">
        <v>2</v>
      </c>
      <c r="N74" s="2" t="s">
        <v>25</v>
      </c>
    </row>
    <row r="75" spans="1:14" x14ac:dyDescent="0.3">
      <c r="A75" s="3" t="s">
        <v>284</v>
      </c>
      <c r="B75" s="3" t="s">
        <v>169</v>
      </c>
      <c r="C75" s="3" t="s">
        <v>141</v>
      </c>
      <c r="D75" s="3" t="s">
        <v>164</v>
      </c>
      <c r="E75" s="3" t="s">
        <v>285</v>
      </c>
      <c r="F75" s="3" t="s">
        <v>79</v>
      </c>
      <c r="G75" s="3" t="s">
        <v>286</v>
      </c>
      <c r="H75" s="3" t="s">
        <v>76</v>
      </c>
      <c r="I75" s="3" t="s">
        <v>33</v>
      </c>
      <c r="J75" s="3" t="s">
        <v>43</v>
      </c>
      <c r="K75" s="3">
        <v>6</v>
      </c>
      <c r="L75" s="3" t="s">
        <v>34</v>
      </c>
      <c r="M75" s="3">
        <v>2</v>
      </c>
      <c r="N75" s="3" t="s">
        <v>25</v>
      </c>
    </row>
    <row r="76" spans="1:14" x14ac:dyDescent="0.3">
      <c r="A76" s="2" t="s">
        <v>287</v>
      </c>
      <c r="B76" s="2" t="s">
        <v>14</v>
      </c>
      <c r="C76" s="2" t="s">
        <v>141</v>
      </c>
      <c r="D76" s="2" t="s">
        <v>66</v>
      </c>
      <c r="E76" s="2" t="s">
        <v>288</v>
      </c>
      <c r="F76" s="2" t="s">
        <v>175</v>
      </c>
      <c r="G76" s="2" t="s">
        <v>19</v>
      </c>
      <c r="H76" s="2"/>
      <c r="I76" s="2" t="s">
        <v>33</v>
      </c>
      <c r="J76" s="2" t="s">
        <v>22</v>
      </c>
      <c r="K76" s="2">
        <v>2</v>
      </c>
      <c r="L76" s="2" t="s">
        <v>23</v>
      </c>
      <c r="M76" s="2">
        <v>2</v>
      </c>
      <c r="N76" s="2" t="s">
        <v>25</v>
      </c>
    </row>
    <row r="77" spans="1:14" x14ac:dyDescent="0.3">
      <c r="A77" s="3" t="s">
        <v>289</v>
      </c>
      <c r="B77" s="3" t="s">
        <v>36</v>
      </c>
      <c r="C77" s="3" t="s">
        <v>100</v>
      </c>
      <c r="D77" s="3" t="s">
        <v>46</v>
      </c>
      <c r="E77" s="3" t="s">
        <v>290</v>
      </c>
      <c r="F77" s="3" t="s">
        <v>18</v>
      </c>
      <c r="G77" s="3" t="s">
        <v>241</v>
      </c>
      <c r="H77" s="3" t="s">
        <v>58</v>
      </c>
      <c r="I77" s="3" t="s">
        <v>33</v>
      </c>
      <c r="J77" s="3" t="s">
        <v>22</v>
      </c>
      <c r="K77" s="3">
        <v>3</v>
      </c>
      <c r="L77" s="3" t="s">
        <v>95</v>
      </c>
      <c r="M77" s="3">
        <v>2</v>
      </c>
      <c r="N77" s="3" t="s">
        <v>25</v>
      </c>
    </row>
    <row r="78" spans="1:14" x14ac:dyDescent="0.3">
      <c r="A78" s="2" t="s">
        <v>291</v>
      </c>
      <c r="B78" s="2" t="s">
        <v>27</v>
      </c>
      <c r="C78" s="2" t="s">
        <v>54</v>
      </c>
      <c r="D78" s="2" t="s">
        <v>38</v>
      </c>
      <c r="E78" s="2" t="s">
        <v>292</v>
      </c>
      <c r="F78" s="2" t="s">
        <v>130</v>
      </c>
      <c r="G78" s="2" t="s">
        <v>293</v>
      </c>
      <c r="H78" s="2" t="s">
        <v>294</v>
      </c>
      <c r="I78" s="2" t="s">
        <v>33</v>
      </c>
      <c r="J78" s="2" t="s">
        <v>22</v>
      </c>
      <c r="K78" s="2">
        <v>3</v>
      </c>
      <c r="L78" s="2" t="s">
        <v>95</v>
      </c>
      <c r="M78" s="2">
        <v>2</v>
      </c>
      <c r="N78" s="2" t="s">
        <v>25</v>
      </c>
    </row>
    <row r="79" spans="1:14" x14ac:dyDescent="0.3">
      <c r="A79" s="3" t="s">
        <v>295</v>
      </c>
      <c r="B79" s="3" t="s">
        <v>169</v>
      </c>
      <c r="C79" s="3" t="s">
        <v>141</v>
      </c>
      <c r="D79" s="3" t="s">
        <v>198</v>
      </c>
      <c r="E79" s="3" t="s">
        <v>264</v>
      </c>
      <c r="F79" s="3" t="s">
        <v>135</v>
      </c>
      <c r="G79" s="3" t="s">
        <v>202</v>
      </c>
      <c r="H79" s="3" t="s">
        <v>185</v>
      </c>
      <c r="I79" s="3" t="s">
        <v>33</v>
      </c>
      <c r="J79" s="3" t="s">
        <v>43</v>
      </c>
      <c r="K79" s="3">
        <v>8</v>
      </c>
      <c r="L79" s="3" t="s">
        <v>60</v>
      </c>
      <c r="M79" s="3">
        <v>2</v>
      </c>
      <c r="N79" s="3" t="s">
        <v>25</v>
      </c>
    </row>
    <row r="80" spans="1:14" x14ac:dyDescent="0.3">
      <c r="A80" s="2" t="s">
        <v>296</v>
      </c>
      <c r="B80" s="2" t="s">
        <v>14</v>
      </c>
      <c r="C80" s="2" t="s">
        <v>54</v>
      </c>
      <c r="D80" s="2" t="s">
        <v>46</v>
      </c>
      <c r="E80" s="2" t="s">
        <v>297</v>
      </c>
      <c r="F80" s="2" t="s">
        <v>138</v>
      </c>
      <c r="G80" s="2" t="s">
        <v>184</v>
      </c>
      <c r="H80" s="2" t="s">
        <v>20</v>
      </c>
      <c r="I80" s="2" t="s">
        <v>21</v>
      </c>
      <c r="J80" s="2" t="s">
        <v>22</v>
      </c>
      <c r="K80" s="2">
        <v>6</v>
      </c>
      <c r="L80" s="2" t="s">
        <v>60</v>
      </c>
      <c r="M80" s="2">
        <v>1</v>
      </c>
      <c r="N80" s="2" t="s">
        <v>24</v>
      </c>
    </row>
    <row r="81" spans="1:14" x14ac:dyDescent="0.3">
      <c r="A81" s="3" t="s">
        <v>298</v>
      </c>
      <c r="B81" s="3" t="s">
        <v>27</v>
      </c>
      <c r="C81" s="3" t="s">
        <v>100</v>
      </c>
      <c r="D81" s="3" t="s">
        <v>164</v>
      </c>
      <c r="E81" s="3" t="s">
        <v>299</v>
      </c>
      <c r="F81" s="3" t="s">
        <v>300</v>
      </c>
      <c r="G81" s="3" t="s">
        <v>301</v>
      </c>
      <c r="H81" s="3" t="s">
        <v>94</v>
      </c>
      <c r="I81" s="3" t="s">
        <v>33</v>
      </c>
      <c r="J81" s="3" t="s">
        <v>51</v>
      </c>
      <c r="K81" s="3">
        <v>4</v>
      </c>
      <c r="L81" s="3" t="s">
        <v>60</v>
      </c>
      <c r="M81" s="3">
        <v>2</v>
      </c>
      <c r="N81" s="3" t="s">
        <v>25</v>
      </c>
    </row>
    <row r="82" spans="1:14" x14ac:dyDescent="0.3">
      <c r="A82" s="2" t="s">
        <v>302</v>
      </c>
      <c r="B82" s="2" t="s">
        <v>72</v>
      </c>
      <c r="C82" s="2" t="s">
        <v>100</v>
      </c>
      <c r="D82" s="2" t="s">
        <v>46</v>
      </c>
      <c r="E82" s="2" t="s">
        <v>290</v>
      </c>
      <c r="F82" s="2" t="s">
        <v>303</v>
      </c>
      <c r="G82" s="2" t="s">
        <v>116</v>
      </c>
      <c r="H82" s="2" t="s">
        <v>227</v>
      </c>
      <c r="I82" s="2" t="s">
        <v>33</v>
      </c>
      <c r="J82" s="2" t="s">
        <v>51</v>
      </c>
      <c r="K82" s="2">
        <v>3</v>
      </c>
      <c r="L82" s="2" t="s">
        <v>23</v>
      </c>
      <c r="M82" s="2">
        <v>2</v>
      </c>
      <c r="N82" s="2" t="s">
        <v>25</v>
      </c>
    </row>
    <row r="83" spans="1:14" x14ac:dyDescent="0.3">
      <c r="A83" s="3" t="s">
        <v>304</v>
      </c>
      <c r="B83" s="3" t="s">
        <v>517</v>
      </c>
      <c r="C83" s="3" t="s">
        <v>86</v>
      </c>
      <c r="D83" s="3" t="s">
        <v>164</v>
      </c>
      <c r="E83" s="3" t="s">
        <v>165</v>
      </c>
      <c r="F83" s="3" t="s">
        <v>130</v>
      </c>
      <c r="G83" s="3" t="s">
        <v>305</v>
      </c>
      <c r="H83" s="3" t="s">
        <v>144</v>
      </c>
      <c r="I83" s="3" t="s">
        <v>33</v>
      </c>
      <c r="J83" s="3" t="s">
        <v>51</v>
      </c>
      <c r="K83" s="3">
        <v>3</v>
      </c>
      <c r="L83" s="3" t="s">
        <v>60</v>
      </c>
      <c r="M83" s="3">
        <v>2</v>
      </c>
      <c r="N83" s="3" t="s">
        <v>25</v>
      </c>
    </row>
    <row r="84" spans="1:14" x14ac:dyDescent="0.3">
      <c r="A84" s="2" t="s">
        <v>306</v>
      </c>
      <c r="B84" s="2" t="s">
        <v>53</v>
      </c>
      <c r="C84" s="2" t="s">
        <v>37</v>
      </c>
      <c r="D84" s="2" t="s">
        <v>114</v>
      </c>
      <c r="E84" s="2" t="s">
        <v>307</v>
      </c>
      <c r="F84" s="2" t="s">
        <v>194</v>
      </c>
      <c r="G84" s="2" t="s">
        <v>273</v>
      </c>
      <c r="H84" s="2" t="s">
        <v>76</v>
      </c>
      <c r="I84" s="2" t="s">
        <v>33</v>
      </c>
      <c r="J84" s="2" t="s">
        <v>43</v>
      </c>
      <c r="K84" s="2">
        <v>7</v>
      </c>
      <c r="L84" s="2" t="s">
        <v>23</v>
      </c>
      <c r="M84" s="2">
        <v>1</v>
      </c>
      <c r="N84" s="2" t="s">
        <v>24</v>
      </c>
    </row>
    <row r="85" spans="1:14" x14ac:dyDescent="0.3">
      <c r="A85" s="3" t="s">
        <v>308</v>
      </c>
      <c r="B85" s="3" t="s">
        <v>27</v>
      </c>
      <c r="C85" s="3" t="s">
        <v>54</v>
      </c>
      <c r="D85" s="3" t="s">
        <v>198</v>
      </c>
      <c r="E85" s="3" t="s">
        <v>309</v>
      </c>
      <c r="F85" s="3" t="s">
        <v>88</v>
      </c>
      <c r="G85" s="3" t="s">
        <v>251</v>
      </c>
      <c r="H85" s="3" t="s">
        <v>58</v>
      </c>
      <c r="I85" s="3" t="s">
        <v>21</v>
      </c>
      <c r="J85" s="3" t="s">
        <v>59</v>
      </c>
      <c r="K85" s="3">
        <v>8</v>
      </c>
      <c r="L85" s="3" t="s">
        <v>23</v>
      </c>
      <c r="M85" s="3">
        <v>1</v>
      </c>
      <c r="N85" s="3" t="s">
        <v>24</v>
      </c>
    </row>
    <row r="86" spans="1:14" x14ac:dyDescent="0.3">
      <c r="A86" s="2" t="s">
        <v>310</v>
      </c>
      <c r="B86" s="2" t="s">
        <v>72</v>
      </c>
      <c r="C86" s="2" t="s">
        <v>54</v>
      </c>
      <c r="D86" s="2" t="s">
        <v>16</v>
      </c>
      <c r="E86" s="2" t="s">
        <v>311</v>
      </c>
      <c r="F86" s="2" t="s">
        <v>138</v>
      </c>
      <c r="G86" s="2" t="s">
        <v>220</v>
      </c>
      <c r="H86" s="2" t="s">
        <v>227</v>
      </c>
      <c r="I86" s="2" t="s">
        <v>21</v>
      </c>
      <c r="J86" s="2" t="s">
        <v>51</v>
      </c>
      <c r="K86" s="2">
        <v>8</v>
      </c>
      <c r="L86" s="2" t="s">
        <v>23</v>
      </c>
      <c r="M86" s="2">
        <v>1</v>
      </c>
      <c r="N86" s="2" t="s">
        <v>24</v>
      </c>
    </row>
    <row r="87" spans="1:14" x14ac:dyDescent="0.3">
      <c r="A87" s="3" t="s">
        <v>312</v>
      </c>
      <c r="B87" s="3" t="s">
        <v>36</v>
      </c>
      <c r="C87" s="3" t="s">
        <v>86</v>
      </c>
      <c r="D87" s="3" t="s">
        <v>38</v>
      </c>
      <c r="E87" s="3" t="s">
        <v>313</v>
      </c>
      <c r="F87" s="3" t="s">
        <v>211</v>
      </c>
      <c r="G87" s="3" t="s">
        <v>75</v>
      </c>
      <c r="H87" s="3" t="s">
        <v>155</v>
      </c>
      <c r="I87" s="3" t="s">
        <v>33</v>
      </c>
      <c r="J87" s="3" t="s">
        <v>43</v>
      </c>
      <c r="K87" s="3">
        <v>8</v>
      </c>
      <c r="L87" s="3" t="s">
        <v>34</v>
      </c>
      <c r="M87" s="3">
        <v>1</v>
      </c>
      <c r="N87" s="3" t="s">
        <v>24</v>
      </c>
    </row>
    <row r="88" spans="1:14" x14ac:dyDescent="0.3">
      <c r="A88" s="2" t="s">
        <v>314</v>
      </c>
      <c r="B88" s="2" t="s">
        <v>169</v>
      </c>
      <c r="C88" s="2" t="s">
        <v>15</v>
      </c>
      <c r="D88" s="2" t="s">
        <v>114</v>
      </c>
      <c r="E88" s="2" t="s">
        <v>315</v>
      </c>
      <c r="F88" s="2" t="s">
        <v>316</v>
      </c>
      <c r="G88" s="2" t="s">
        <v>305</v>
      </c>
      <c r="H88" s="2" t="s">
        <v>20</v>
      </c>
      <c r="I88" s="2" t="s">
        <v>33</v>
      </c>
      <c r="J88" s="2" t="s">
        <v>51</v>
      </c>
      <c r="K88" s="2">
        <v>1</v>
      </c>
      <c r="L88" s="2" t="s">
        <v>34</v>
      </c>
      <c r="M88" s="2">
        <v>1</v>
      </c>
      <c r="N88" s="2" t="s">
        <v>24</v>
      </c>
    </row>
    <row r="89" spans="1:14" x14ac:dyDescent="0.3">
      <c r="A89" s="3" t="s">
        <v>317</v>
      </c>
      <c r="B89" s="3" t="s">
        <v>520</v>
      </c>
      <c r="C89" s="3" t="s">
        <v>15</v>
      </c>
      <c r="D89" s="3" t="s">
        <v>16</v>
      </c>
      <c r="E89" s="3" t="s">
        <v>318</v>
      </c>
      <c r="F89" s="3" t="s">
        <v>138</v>
      </c>
      <c r="G89" s="3"/>
      <c r="H89" s="3" t="s">
        <v>90</v>
      </c>
      <c r="I89" s="3" t="s">
        <v>33</v>
      </c>
      <c r="J89" s="3" t="s">
        <v>43</v>
      </c>
      <c r="K89" s="3">
        <v>1</v>
      </c>
      <c r="L89" s="3" t="s">
        <v>60</v>
      </c>
      <c r="M89" s="3">
        <v>2</v>
      </c>
      <c r="N89" s="3" t="s">
        <v>25</v>
      </c>
    </row>
    <row r="90" spans="1:14" x14ac:dyDescent="0.3">
      <c r="A90" s="2" t="s">
        <v>319</v>
      </c>
      <c r="B90" s="2" t="s">
        <v>27</v>
      </c>
      <c r="C90" s="2" t="s">
        <v>15</v>
      </c>
      <c r="D90" s="2" t="s">
        <v>28</v>
      </c>
      <c r="E90" s="2" t="s">
        <v>320</v>
      </c>
      <c r="F90" s="2" t="s">
        <v>250</v>
      </c>
      <c r="G90" s="2" t="s">
        <v>273</v>
      </c>
      <c r="H90" s="2" t="s">
        <v>42</v>
      </c>
      <c r="I90" s="2" t="s">
        <v>33</v>
      </c>
      <c r="J90" s="2" t="s">
        <v>59</v>
      </c>
      <c r="K90" s="2">
        <v>1</v>
      </c>
      <c r="L90" s="2" t="s">
        <v>60</v>
      </c>
      <c r="M90" s="2">
        <v>2</v>
      </c>
      <c r="N90" s="2" t="s">
        <v>25</v>
      </c>
    </row>
    <row r="91" spans="1:14" x14ac:dyDescent="0.3">
      <c r="A91" s="3" t="s">
        <v>321</v>
      </c>
      <c r="B91" s="3" t="s">
        <v>72</v>
      </c>
      <c r="C91" s="3" t="s">
        <v>100</v>
      </c>
      <c r="D91" s="3" t="s">
        <v>46</v>
      </c>
      <c r="E91" s="3" t="s">
        <v>322</v>
      </c>
      <c r="F91" s="3" t="s">
        <v>130</v>
      </c>
      <c r="G91" s="3" t="s">
        <v>89</v>
      </c>
      <c r="H91" s="3" t="s">
        <v>323</v>
      </c>
      <c r="I91" s="3" t="s">
        <v>33</v>
      </c>
      <c r="J91" s="3" t="s">
        <v>59</v>
      </c>
      <c r="K91" s="3">
        <v>6</v>
      </c>
      <c r="L91" s="3" t="s">
        <v>23</v>
      </c>
      <c r="M91" s="3">
        <v>2</v>
      </c>
      <c r="N91" s="3" t="s">
        <v>25</v>
      </c>
    </row>
    <row r="92" spans="1:14" x14ac:dyDescent="0.3">
      <c r="A92" s="2" t="s">
        <v>324</v>
      </c>
      <c r="B92" s="2" t="s">
        <v>27</v>
      </c>
      <c r="C92" s="2" t="s">
        <v>45</v>
      </c>
      <c r="D92" s="2" t="s">
        <v>66</v>
      </c>
      <c r="E92" s="2" t="s">
        <v>210</v>
      </c>
      <c r="F92" s="2" t="s">
        <v>303</v>
      </c>
      <c r="G92" s="2" t="s">
        <v>80</v>
      </c>
      <c r="H92" s="2" t="s">
        <v>221</v>
      </c>
      <c r="I92" s="2" t="s">
        <v>33</v>
      </c>
      <c r="J92" s="2" t="s">
        <v>51</v>
      </c>
      <c r="K92" s="2">
        <v>2</v>
      </c>
      <c r="L92" s="2" t="s">
        <v>34</v>
      </c>
      <c r="M92" s="2">
        <v>1</v>
      </c>
      <c r="N92" s="2" t="s">
        <v>24</v>
      </c>
    </row>
    <row r="93" spans="1:14" x14ac:dyDescent="0.3">
      <c r="A93" s="3" t="s">
        <v>325</v>
      </c>
      <c r="B93" s="3"/>
      <c r="C93" s="3" t="s">
        <v>192</v>
      </c>
      <c r="D93" s="3" t="s">
        <v>46</v>
      </c>
      <c r="E93" s="3" t="s">
        <v>297</v>
      </c>
      <c r="F93" s="3" t="s">
        <v>138</v>
      </c>
      <c r="G93" s="3" t="s">
        <v>326</v>
      </c>
      <c r="H93" s="3" t="s">
        <v>172</v>
      </c>
      <c r="I93" s="3" t="s">
        <v>33</v>
      </c>
      <c r="J93" s="3" t="s">
        <v>43</v>
      </c>
      <c r="K93" s="3">
        <v>8</v>
      </c>
      <c r="L93" s="3" t="s">
        <v>34</v>
      </c>
      <c r="M93" s="3">
        <v>2</v>
      </c>
      <c r="N93" s="3" t="s">
        <v>25</v>
      </c>
    </row>
    <row r="94" spans="1:14" x14ac:dyDescent="0.3">
      <c r="A94" s="2" t="s">
        <v>327</v>
      </c>
      <c r="B94" s="2" t="s">
        <v>53</v>
      </c>
      <c r="C94" s="2" t="s">
        <v>37</v>
      </c>
      <c r="D94" s="2" t="s">
        <v>114</v>
      </c>
      <c r="E94" s="2" t="s">
        <v>328</v>
      </c>
      <c r="F94" s="2" t="s">
        <v>63</v>
      </c>
      <c r="G94" s="2" t="s">
        <v>286</v>
      </c>
      <c r="H94" s="2" t="s">
        <v>278</v>
      </c>
      <c r="I94" s="2" t="s">
        <v>33</v>
      </c>
      <c r="J94" s="2" t="s">
        <v>51</v>
      </c>
      <c r="K94" s="2">
        <v>7</v>
      </c>
      <c r="L94" s="2" t="s">
        <v>60</v>
      </c>
      <c r="M94" s="2">
        <v>2</v>
      </c>
      <c r="N94" s="2" t="s">
        <v>25</v>
      </c>
    </row>
    <row r="95" spans="1:14" x14ac:dyDescent="0.3">
      <c r="A95" s="2"/>
      <c r="B95" s="2"/>
      <c r="C95" s="2"/>
      <c r="D95" s="2"/>
      <c r="E95" s="2"/>
      <c r="F95" s="2"/>
      <c r="G95" s="2"/>
      <c r="H95" s="2"/>
      <c r="I95" s="2"/>
      <c r="J95" s="2"/>
      <c r="K95" s="2"/>
      <c r="L95" s="2"/>
      <c r="M95" s="2"/>
      <c r="N95" s="2"/>
    </row>
    <row r="96" spans="1:14" x14ac:dyDescent="0.3">
      <c r="A96" s="3" t="s">
        <v>329</v>
      </c>
      <c r="B96" s="3" t="s">
        <v>169</v>
      </c>
      <c r="C96" s="3" t="s">
        <v>192</v>
      </c>
      <c r="D96" s="3" t="s">
        <v>16</v>
      </c>
      <c r="E96" s="3" t="s">
        <v>330</v>
      </c>
      <c r="F96" s="3" t="s">
        <v>194</v>
      </c>
      <c r="G96" s="3" t="s">
        <v>273</v>
      </c>
      <c r="H96" s="3" t="s">
        <v>112</v>
      </c>
      <c r="I96" s="3" t="s">
        <v>33</v>
      </c>
      <c r="J96" s="3" t="s">
        <v>51</v>
      </c>
      <c r="K96" s="3">
        <v>8</v>
      </c>
      <c r="L96" s="3" t="s">
        <v>34</v>
      </c>
      <c r="M96" s="3">
        <v>2</v>
      </c>
      <c r="N96" s="3" t="s">
        <v>25</v>
      </c>
    </row>
    <row r="97" spans="1:14" x14ac:dyDescent="0.3">
      <c r="A97" s="2" t="s">
        <v>331</v>
      </c>
      <c r="B97" s="2" t="s">
        <v>72</v>
      </c>
      <c r="C97" s="2" t="s">
        <v>141</v>
      </c>
      <c r="D97" s="2" t="s">
        <v>114</v>
      </c>
      <c r="E97" s="2" t="s">
        <v>332</v>
      </c>
      <c r="F97" s="2" t="s">
        <v>40</v>
      </c>
      <c r="G97" s="2" t="s">
        <v>333</v>
      </c>
      <c r="H97" s="2" t="s">
        <v>221</v>
      </c>
      <c r="I97" s="2" t="s">
        <v>21</v>
      </c>
      <c r="J97" s="2" t="s">
        <v>43</v>
      </c>
      <c r="K97" s="2">
        <v>2</v>
      </c>
      <c r="L97" s="2" t="s">
        <v>23</v>
      </c>
      <c r="M97" s="2">
        <v>1</v>
      </c>
      <c r="N97" s="2" t="s">
        <v>24</v>
      </c>
    </row>
    <row r="98" spans="1:14" x14ac:dyDescent="0.3">
      <c r="A98" s="3" t="s">
        <v>334</v>
      </c>
      <c r="B98" s="3" t="s">
        <v>27</v>
      </c>
      <c r="C98" s="3" t="s">
        <v>86</v>
      </c>
      <c r="D98" s="3" t="s">
        <v>114</v>
      </c>
      <c r="E98" s="3" t="s">
        <v>115</v>
      </c>
      <c r="F98" s="3" t="s">
        <v>303</v>
      </c>
      <c r="G98" s="3" t="s">
        <v>283</v>
      </c>
      <c r="H98" s="3" t="s">
        <v>274</v>
      </c>
      <c r="I98" s="3" t="s">
        <v>33</v>
      </c>
      <c r="J98" s="3" t="s">
        <v>22</v>
      </c>
      <c r="K98" s="3">
        <v>6</v>
      </c>
      <c r="L98" s="3" t="s">
        <v>34</v>
      </c>
      <c r="M98" s="3">
        <v>2</v>
      </c>
      <c r="N98" s="3" t="s">
        <v>25</v>
      </c>
    </row>
    <row r="99" spans="1:14" x14ac:dyDescent="0.3">
      <c r="A99" s="2" t="s">
        <v>335</v>
      </c>
      <c r="B99" s="2" t="s">
        <v>27</v>
      </c>
      <c r="C99" s="2" t="s">
        <v>86</v>
      </c>
      <c r="D99" s="2" t="s">
        <v>46</v>
      </c>
      <c r="E99" s="2" t="s">
        <v>336</v>
      </c>
      <c r="F99" s="2" t="s">
        <v>208</v>
      </c>
      <c r="G99" s="2" t="s">
        <v>333</v>
      </c>
      <c r="H99" s="2" t="s">
        <v>221</v>
      </c>
      <c r="I99" s="2" t="s">
        <v>33</v>
      </c>
      <c r="J99" s="2" t="s">
        <v>59</v>
      </c>
      <c r="K99" s="2">
        <v>2</v>
      </c>
      <c r="L99" s="2" t="s">
        <v>60</v>
      </c>
      <c r="M99" s="2">
        <v>2</v>
      </c>
      <c r="N99" s="2" t="s">
        <v>25</v>
      </c>
    </row>
    <row r="100" spans="1:14" x14ac:dyDescent="0.3">
      <c r="A100" s="3" t="s">
        <v>337</v>
      </c>
      <c r="B100" s="3" t="s">
        <v>169</v>
      </c>
      <c r="C100" s="3" t="s">
        <v>86</v>
      </c>
      <c r="D100" s="3" t="s">
        <v>46</v>
      </c>
      <c r="E100" s="3" t="s">
        <v>97</v>
      </c>
      <c r="F100" s="3" t="s">
        <v>262</v>
      </c>
      <c r="G100" s="3" t="s">
        <v>286</v>
      </c>
      <c r="H100" s="3" t="s">
        <v>196</v>
      </c>
      <c r="I100" s="3" t="s">
        <v>33</v>
      </c>
      <c r="J100" s="3" t="s">
        <v>43</v>
      </c>
      <c r="K100" s="3">
        <v>5</v>
      </c>
      <c r="L100" s="3" t="s">
        <v>23</v>
      </c>
      <c r="M100" s="3">
        <v>2</v>
      </c>
      <c r="N100" s="3" t="s">
        <v>25</v>
      </c>
    </row>
    <row r="101" spans="1:14" x14ac:dyDescent="0.3">
      <c r="A101" s="2" t="s">
        <v>338</v>
      </c>
      <c r="B101" s="2" t="s">
        <v>53</v>
      </c>
      <c r="C101" s="2" t="s">
        <v>37</v>
      </c>
      <c r="D101" s="2" t="s">
        <v>46</v>
      </c>
      <c r="E101" s="2" t="s">
        <v>297</v>
      </c>
      <c r="F101" s="2" t="s">
        <v>83</v>
      </c>
      <c r="G101" s="2" t="s">
        <v>333</v>
      </c>
      <c r="H101" s="2" t="s">
        <v>339</v>
      </c>
      <c r="I101" s="2" t="s">
        <v>33</v>
      </c>
      <c r="J101" s="2" t="s">
        <v>43</v>
      </c>
      <c r="K101" s="2">
        <v>3</v>
      </c>
      <c r="L101" s="2" t="s">
        <v>23</v>
      </c>
      <c r="M101" s="2">
        <v>1</v>
      </c>
      <c r="N101" s="2" t="s">
        <v>24</v>
      </c>
    </row>
    <row r="102" spans="1:14" x14ac:dyDescent="0.3">
      <c r="A102" s="3" t="s">
        <v>340</v>
      </c>
      <c r="B102" s="3" t="s">
        <v>36</v>
      </c>
      <c r="C102" s="3" t="s">
        <v>37</v>
      </c>
      <c r="D102" s="3" t="s">
        <v>164</v>
      </c>
      <c r="E102" s="3" t="s">
        <v>341</v>
      </c>
      <c r="F102" s="3" t="s">
        <v>180</v>
      </c>
      <c r="G102" s="3" t="s">
        <v>176</v>
      </c>
      <c r="H102" s="3" t="s">
        <v>70</v>
      </c>
      <c r="I102" s="3" t="s">
        <v>21</v>
      </c>
      <c r="J102" s="3" t="s">
        <v>43</v>
      </c>
      <c r="K102" s="3">
        <v>3</v>
      </c>
      <c r="L102" s="3" t="s">
        <v>95</v>
      </c>
      <c r="M102" s="3">
        <v>1</v>
      </c>
      <c r="N102" s="3" t="s">
        <v>24</v>
      </c>
    </row>
    <row r="103" spans="1:14" x14ac:dyDescent="0.3">
      <c r="A103" s="2" t="s">
        <v>342</v>
      </c>
      <c r="B103" s="2" t="s">
        <v>169</v>
      </c>
      <c r="C103" s="2" t="s">
        <v>192</v>
      </c>
      <c r="D103" s="2" t="s">
        <v>46</v>
      </c>
      <c r="E103" s="2" t="s">
        <v>343</v>
      </c>
      <c r="F103" s="2" t="s">
        <v>120</v>
      </c>
      <c r="G103" s="2" t="s">
        <v>107</v>
      </c>
      <c r="H103" s="2" t="s">
        <v>216</v>
      </c>
      <c r="I103" s="2" t="s">
        <v>21</v>
      </c>
      <c r="J103" s="2" t="s">
        <v>51</v>
      </c>
      <c r="K103" s="2">
        <v>7</v>
      </c>
      <c r="L103" s="2" t="s">
        <v>23</v>
      </c>
      <c r="M103" s="2">
        <v>1</v>
      </c>
      <c r="N103" s="2" t="s">
        <v>24</v>
      </c>
    </row>
    <row r="104" spans="1:14" x14ac:dyDescent="0.3">
      <c r="A104" s="3" t="s">
        <v>344</v>
      </c>
      <c r="B104" s="3" t="s">
        <v>169</v>
      </c>
      <c r="C104" s="3" t="s">
        <v>100</v>
      </c>
      <c r="D104" s="3" t="s">
        <v>46</v>
      </c>
      <c r="E104" s="3" t="s">
        <v>345</v>
      </c>
      <c r="F104" s="3" t="s">
        <v>48</v>
      </c>
      <c r="G104" s="3" t="s">
        <v>147</v>
      </c>
      <c r="H104" s="3" t="s">
        <v>181</v>
      </c>
      <c r="I104" s="3" t="s">
        <v>33</v>
      </c>
      <c r="J104" s="3" t="s">
        <v>59</v>
      </c>
      <c r="K104" s="3">
        <v>3</v>
      </c>
      <c r="L104" s="3" t="s">
        <v>60</v>
      </c>
      <c r="M104" s="3">
        <v>2</v>
      </c>
      <c r="N104" s="3" t="s">
        <v>25</v>
      </c>
    </row>
    <row r="105" spans="1:14" x14ac:dyDescent="0.3">
      <c r="A105" s="2" t="s">
        <v>163</v>
      </c>
      <c r="B105" s="2" t="s">
        <v>53</v>
      </c>
      <c r="C105" s="2" t="s">
        <v>45</v>
      </c>
      <c r="D105" s="2" t="s">
        <v>164</v>
      </c>
      <c r="E105" s="2" t="s">
        <v>165</v>
      </c>
      <c r="F105" s="2" t="s">
        <v>166</v>
      </c>
      <c r="G105" s="2" t="s">
        <v>136</v>
      </c>
      <c r="H105" s="2" t="s">
        <v>167</v>
      </c>
      <c r="I105" s="2" t="s">
        <v>33</v>
      </c>
      <c r="J105" s="2" t="s">
        <v>43</v>
      </c>
      <c r="K105" s="2">
        <v>2</v>
      </c>
      <c r="L105" s="2" t="s">
        <v>34</v>
      </c>
      <c r="M105" s="2">
        <v>1</v>
      </c>
      <c r="N105" s="2" t="s">
        <v>24</v>
      </c>
    </row>
    <row r="106" spans="1:14" x14ac:dyDescent="0.3">
      <c r="A106" s="2" t="s">
        <v>77</v>
      </c>
      <c r="B106" s="2" t="s">
        <v>72</v>
      </c>
      <c r="C106" s="2" t="s">
        <v>54</v>
      </c>
      <c r="D106" s="2" t="s">
        <v>16</v>
      </c>
      <c r="E106" s="2" t="s">
        <v>78</v>
      </c>
      <c r="F106" s="2" t="s">
        <v>79</v>
      </c>
      <c r="G106" s="2" t="s">
        <v>80</v>
      </c>
      <c r="H106" s="2" t="s">
        <v>64</v>
      </c>
      <c r="I106" s="2" t="s">
        <v>33</v>
      </c>
      <c r="J106" s="2" t="s">
        <v>22</v>
      </c>
      <c r="K106" s="2">
        <v>8</v>
      </c>
      <c r="L106" s="2" t="s">
        <v>60</v>
      </c>
      <c r="M106" s="2">
        <v>2</v>
      </c>
      <c r="N106" s="2" t="s">
        <v>25</v>
      </c>
    </row>
    <row r="107" spans="1:14" x14ac:dyDescent="0.3">
      <c r="A107" s="2" t="s">
        <v>260</v>
      </c>
      <c r="B107" s="2" t="s">
        <v>14</v>
      </c>
      <c r="C107" s="2" t="s">
        <v>192</v>
      </c>
      <c r="D107" s="2" t="s">
        <v>46</v>
      </c>
      <c r="E107" s="2" t="s">
        <v>261</v>
      </c>
      <c r="F107" s="2" t="s">
        <v>262</v>
      </c>
      <c r="G107" s="2" t="s">
        <v>31</v>
      </c>
      <c r="H107" s="2" t="s">
        <v>247</v>
      </c>
      <c r="I107" s="2" t="s">
        <v>33</v>
      </c>
      <c r="J107" s="2" t="s">
        <v>51</v>
      </c>
      <c r="K107" s="2">
        <v>3</v>
      </c>
      <c r="L107" s="2" t="s">
        <v>34</v>
      </c>
      <c r="M107" s="2">
        <v>2</v>
      </c>
      <c r="N107" s="2" t="s">
        <v>25</v>
      </c>
    </row>
    <row r="108" spans="1:14" x14ac:dyDescent="0.3">
      <c r="A108" s="3" t="s">
        <v>317</v>
      </c>
      <c r="B108" s="3" t="s">
        <v>72</v>
      </c>
      <c r="C108" s="3" t="s">
        <v>15</v>
      </c>
      <c r="D108" s="3" t="s">
        <v>16</v>
      </c>
      <c r="E108" s="3" t="s">
        <v>318</v>
      </c>
      <c r="F108" s="3" t="s">
        <v>138</v>
      </c>
      <c r="G108" s="3"/>
      <c r="H108" s="3" t="s">
        <v>90</v>
      </c>
      <c r="I108" s="3" t="s">
        <v>33</v>
      </c>
      <c r="J108" s="3" t="s">
        <v>43</v>
      </c>
      <c r="K108" s="3">
        <v>1</v>
      </c>
      <c r="L108" s="3" t="s">
        <v>60</v>
      </c>
      <c r="M108" s="3">
        <v>2</v>
      </c>
      <c r="N108" s="3" t="s">
        <v>25</v>
      </c>
    </row>
    <row r="109" spans="1:14" x14ac:dyDescent="0.3">
      <c r="A109" s="2" t="s">
        <v>260</v>
      </c>
      <c r="B109" s="2" t="s">
        <v>14</v>
      </c>
      <c r="C109" s="2" t="s">
        <v>192</v>
      </c>
      <c r="D109" s="2" t="s">
        <v>46</v>
      </c>
      <c r="E109" s="2" t="s">
        <v>261</v>
      </c>
      <c r="F109" s="2" t="s">
        <v>262</v>
      </c>
      <c r="G109" s="2" t="s">
        <v>31</v>
      </c>
      <c r="H109" s="2" t="s">
        <v>247</v>
      </c>
      <c r="I109" s="2" t="s">
        <v>33</v>
      </c>
      <c r="J109" s="2" t="s">
        <v>51</v>
      </c>
      <c r="K109" s="2">
        <v>3</v>
      </c>
      <c r="L109" s="2" t="s">
        <v>34</v>
      </c>
      <c r="M109" s="2">
        <v>2</v>
      </c>
      <c r="N109" s="2" t="s">
        <v>25</v>
      </c>
    </row>
  </sheetData>
  <mergeCells count="1">
    <mergeCell ref="O7:P8"/>
  </mergeCells>
  <hyperlinks>
    <hyperlink ref="O7:P8" location="Index!A1" display="Back to Index" xr:uid="{0FE49DF9-43C5-49DE-A350-D77CF228B436}"/>
  </hyperlink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F40C1-DEB1-4FF7-82DA-9D336E9CB4D0}">
  <sheetPr codeName="Sheet5"/>
  <dimension ref="A1:R94"/>
  <sheetViews>
    <sheetView topLeftCell="A82" workbookViewId="0">
      <selection activeCell="A94" sqref="A94:N94"/>
    </sheetView>
  </sheetViews>
  <sheetFormatPr defaultRowHeight="14.4" x14ac:dyDescent="0.3"/>
  <cols>
    <col min="1" max="1" width="8.33203125" customWidth="1"/>
    <col min="2" max="2" width="11.44140625" bestFit="1" customWidth="1"/>
    <col min="3" max="3" width="10.6640625" bestFit="1" customWidth="1"/>
    <col min="4" max="4" width="13" customWidth="1"/>
    <col min="5" max="5" width="14" customWidth="1"/>
    <col min="6" max="6" width="23.88671875" bestFit="1" customWidth="1"/>
    <col min="7" max="7" width="11.109375" customWidth="1"/>
    <col min="8" max="8" width="10.6640625" customWidth="1"/>
    <col min="9" max="9" width="15.88671875" bestFit="1" customWidth="1"/>
    <col min="10" max="10" width="7.6640625" customWidth="1"/>
    <col min="11" max="11" width="10.6640625" customWidth="1"/>
    <col min="12" max="12" width="9.109375" customWidth="1"/>
    <col min="13" max="13" width="14.5546875" customWidth="1"/>
    <col min="14" max="14" width="7.6640625" customWidth="1"/>
    <col min="15" max="15" width="13.44140625" bestFit="1" customWidth="1"/>
  </cols>
  <sheetData>
    <row r="1" spans="1:18" x14ac:dyDescent="0.3">
      <c r="A1" t="s">
        <v>0</v>
      </c>
      <c r="B1" t="s">
        <v>1</v>
      </c>
      <c r="C1" t="s">
        <v>2</v>
      </c>
      <c r="D1" t="s">
        <v>3</v>
      </c>
      <c r="E1" t="s">
        <v>4</v>
      </c>
      <c r="F1" t="s">
        <v>5</v>
      </c>
      <c r="G1" t="s">
        <v>6</v>
      </c>
      <c r="H1" t="s">
        <v>512</v>
      </c>
      <c r="I1" t="s">
        <v>7</v>
      </c>
      <c r="J1" t="s">
        <v>8</v>
      </c>
      <c r="K1" t="s">
        <v>9</v>
      </c>
      <c r="L1" t="s">
        <v>10</v>
      </c>
      <c r="M1" t="s">
        <v>11</v>
      </c>
      <c r="N1" t="s">
        <v>12</v>
      </c>
      <c r="O1" t="s">
        <v>521</v>
      </c>
    </row>
    <row r="2" spans="1:18" x14ac:dyDescent="0.3">
      <c r="A2" s="7" t="s">
        <v>13</v>
      </c>
      <c r="B2" s="7" t="s">
        <v>14</v>
      </c>
      <c r="C2" s="7" t="s">
        <v>15</v>
      </c>
      <c r="D2" s="7" t="s">
        <v>16</v>
      </c>
      <c r="E2" s="7" t="s">
        <v>17</v>
      </c>
      <c r="F2" s="7" t="s">
        <v>18</v>
      </c>
      <c r="G2" s="7" t="s">
        <v>19</v>
      </c>
      <c r="H2" s="7" t="s">
        <v>20</v>
      </c>
      <c r="I2" s="7" t="str">
        <f>_xlfn.XLOOKUP(Table6[[#This Row],[Room ID]],Table4[Room ID],Table4[Room Type])</f>
        <v>Smart Classroom</v>
      </c>
      <c r="J2" s="7">
        <v>2024</v>
      </c>
      <c r="K2" s="7">
        <v>1</v>
      </c>
      <c r="L2" s="7" t="s">
        <v>23</v>
      </c>
      <c r="M2" s="7">
        <v>1</v>
      </c>
      <c r="N2" s="7" t="s">
        <v>24</v>
      </c>
      <c r="O2" s="7" t="str">
        <f>IF(COUNTIFS(Table6[Day],Table6[[#This Row],[Day]],Table6[Time Slot],Table6[[#This Row],[Time Slot]],Table6[Faculty ID],Table6[[#This Row],[Faculty ID]])&gt;1,"Conflict","No Conflict")</f>
        <v>No Conflict</v>
      </c>
    </row>
    <row r="3" spans="1:18" x14ac:dyDescent="0.3">
      <c r="A3" s="7" t="s">
        <v>26</v>
      </c>
      <c r="B3" s="7" t="s">
        <v>27</v>
      </c>
      <c r="C3" s="7" t="s">
        <v>15</v>
      </c>
      <c r="D3" s="7" t="s">
        <v>28</v>
      </c>
      <c r="E3" s="7" t="s">
        <v>29</v>
      </c>
      <c r="F3" s="7" t="s">
        <v>30</v>
      </c>
      <c r="G3" s="7" t="s">
        <v>31</v>
      </c>
      <c r="H3" s="7" t="s">
        <v>32</v>
      </c>
      <c r="I3" s="7" t="str">
        <f>_xlfn.XLOOKUP(Table6[[#This Row],[Room ID]],Table4[Room ID],Table4[Room Type])</f>
        <v>Lab</v>
      </c>
      <c r="J3" s="7">
        <v>2024</v>
      </c>
      <c r="K3" s="7">
        <v>4</v>
      </c>
      <c r="L3" s="7" t="s">
        <v>34</v>
      </c>
      <c r="M3" s="7">
        <v>2</v>
      </c>
      <c r="N3" s="7" t="s">
        <v>25</v>
      </c>
      <c r="O3" s="7" t="str">
        <f>IF(COUNTIFS(Table6[Day],Table6[[#This Row],[Day]],Table6[Time Slot],Table6[[#This Row],[Time Slot]],Table6[Faculty ID],Table6[[#This Row],[Faculty ID]])&gt;1,"Conflict","No Conflict")</f>
        <v>No Conflict</v>
      </c>
    </row>
    <row r="4" spans="1:18" x14ac:dyDescent="0.3">
      <c r="A4" s="7" t="s">
        <v>35</v>
      </c>
      <c r="B4" s="7" t="s">
        <v>36</v>
      </c>
      <c r="C4" s="7" t="s">
        <v>37</v>
      </c>
      <c r="D4" s="7" t="s">
        <v>38</v>
      </c>
      <c r="E4" s="7" t="s">
        <v>39</v>
      </c>
      <c r="F4" s="7" t="s">
        <v>40</v>
      </c>
      <c r="G4" s="7" t="s">
        <v>41</v>
      </c>
      <c r="H4" s="7" t="s">
        <v>42</v>
      </c>
      <c r="I4" s="7" t="str">
        <f>_xlfn.XLOOKUP(Table6[[#This Row],[Room ID]],Table4[Room ID],Table4[Room Type])</f>
        <v>Smart Classroom</v>
      </c>
      <c r="J4" s="7">
        <v>2021</v>
      </c>
      <c r="K4" s="7">
        <v>7</v>
      </c>
      <c r="L4" s="7" t="s">
        <v>23</v>
      </c>
      <c r="M4" s="7">
        <v>1</v>
      </c>
      <c r="N4" s="7" t="s">
        <v>24</v>
      </c>
      <c r="O4" s="7" t="str">
        <f>IF(COUNTIFS(Table6[Day],Table6[[#This Row],[Day]],Table6[Time Slot],Table6[[#This Row],[Time Slot]],Table6[Faculty ID],Table6[[#This Row],[Faculty ID]])&gt;1,"Conflict","No Conflict")</f>
        <v>No Conflict</v>
      </c>
    </row>
    <row r="5" spans="1:18" x14ac:dyDescent="0.3">
      <c r="A5" s="7" t="s">
        <v>44</v>
      </c>
      <c r="B5" s="7" t="s">
        <v>27</v>
      </c>
      <c r="C5" s="7" t="s">
        <v>45</v>
      </c>
      <c r="D5" s="7" t="s">
        <v>46</v>
      </c>
      <c r="E5" s="7" t="s">
        <v>47</v>
      </c>
      <c r="F5" s="7" t="s">
        <v>48</v>
      </c>
      <c r="G5" s="7" t="s">
        <v>49</v>
      </c>
      <c r="H5" s="7" t="s">
        <v>50</v>
      </c>
      <c r="I5" s="7" t="str">
        <f>_xlfn.XLOOKUP(Table6[[#This Row],[Room ID]],Table4[Room ID],Table4[Room Type])</f>
        <v>Lecture Hall</v>
      </c>
      <c r="J5" s="7">
        <v>2023</v>
      </c>
      <c r="K5" s="7">
        <v>4</v>
      </c>
      <c r="L5" s="7" t="s">
        <v>23</v>
      </c>
      <c r="M5" s="7">
        <v>1</v>
      </c>
      <c r="N5" s="7" t="s">
        <v>24</v>
      </c>
      <c r="O5" s="7" t="str">
        <f>IF(COUNTIFS(Table6[Day],Table6[[#This Row],[Day]],Table6[Time Slot],Table6[[#This Row],[Time Slot]],Table6[Faculty ID],Table6[[#This Row],[Faculty ID]])&gt;1,"Conflict","No Conflict")</f>
        <v>No Conflict</v>
      </c>
    </row>
    <row r="6" spans="1:18" x14ac:dyDescent="0.3">
      <c r="A6" s="7" t="s">
        <v>52</v>
      </c>
      <c r="B6" s="7" t="s">
        <v>53</v>
      </c>
      <c r="C6" s="7" t="s">
        <v>54</v>
      </c>
      <c r="D6" s="7" t="s">
        <v>46</v>
      </c>
      <c r="E6" s="7" t="s">
        <v>55</v>
      </c>
      <c r="F6" s="7" t="s">
        <v>56</v>
      </c>
      <c r="G6" s="7" t="s">
        <v>57</v>
      </c>
      <c r="H6" s="7" t="s">
        <v>58</v>
      </c>
      <c r="I6" s="7" t="str">
        <f>_xlfn.XLOOKUP(Table6[[#This Row],[Room ID]],Table4[Room ID],Table4[Room Type])</f>
        <v>Lecture Hall</v>
      </c>
      <c r="J6" s="7">
        <v>2022</v>
      </c>
      <c r="K6" s="7">
        <v>6</v>
      </c>
      <c r="L6" s="7" t="s">
        <v>60</v>
      </c>
      <c r="M6" s="7">
        <v>2</v>
      </c>
      <c r="N6" s="7" t="s">
        <v>25</v>
      </c>
      <c r="O6" s="7" t="str">
        <f>IF(COUNTIFS(Table6[Day],Table6[[#This Row],[Day]],Table6[Time Slot],Table6[[#This Row],[Time Slot]],Table6[Faculty ID],Table6[[#This Row],[Faculty ID]])&gt;1,"Conflict","No Conflict")</f>
        <v>No Conflict</v>
      </c>
    </row>
    <row r="7" spans="1:18" x14ac:dyDescent="0.3">
      <c r="A7" s="7" t="s">
        <v>61</v>
      </c>
      <c r="B7" s="7" t="s">
        <v>27</v>
      </c>
      <c r="C7" s="7" t="s">
        <v>15</v>
      </c>
      <c r="D7" s="7" t="s">
        <v>16</v>
      </c>
      <c r="E7" s="7" t="s">
        <v>62</v>
      </c>
      <c r="F7" s="7" t="s">
        <v>63</v>
      </c>
      <c r="G7" s="7" t="s">
        <v>57</v>
      </c>
      <c r="H7" s="7" t="s">
        <v>64</v>
      </c>
      <c r="I7" s="7" t="str">
        <f>_xlfn.XLOOKUP(Table6[[#This Row],[Room ID]],Table4[Room ID],Table4[Room Type])</f>
        <v>Lecture Hall</v>
      </c>
      <c r="J7" s="7">
        <v>2023</v>
      </c>
      <c r="K7" s="7">
        <v>4</v>
      </c>
      <c r="L7" s="7" t="s">
        <v>60</v>
      </c>
      <c r="M7" s="7">
        <v>2</v>
      </c>
      <c r="N7" s="7" t="s">
        <v>25</v>
      </c>
      <c r="O7" s="7" t="str">
        <f>IF(COUNTIFS(Table6[Day],Table6[[#This Row],[Day]],Table6[Time Slot],Table6[[#This Row],[Time Slot]],Table6[Faculty ID],Table6[[#This Row],[Faculty ID]])&gt;1,"Conflict","No Conflict")</f>
        <v>No Conflict</v>
      </c>
      <c r="Q7" s="66" t="s">
        <v>594</v>
      </c>
      <c r="R7" s="67"/>
    </row>
    <row r="8" spans="1:18" x14ac:dyDescent="0.3">
      <c r="A8" s="7" t="s">
        <v>65</v>
      </c>
      <c r="B8" s="7" t="s">
        <v>36</v>
      </c>
      <c r="C8" s="7" t="s">
        <v>45</v>
      </c>
      <c r="D8" s="7" t="s">
        <v>66</v>
      </c>
      <c r="E8" s="7" t="s">
        <v>67</v>
      </c>
      <c r="F8" s="7" t="s">
        <v>68</v>
      </c>
      <c r="G8" s="7" t="s">
        <v>69</v>
      </c>
      <c r="H8" s="7" t="s">
        <v>70</v>
      </c>
      <c r="I8" s="7" t="str">
        <f>_xlfn.XLOOKUP(Table6[[#This Row],[Room ID]],Table4[Room ID],Table4[Room Type])</f>
        <v>Seminar Room</v>
      </c>
      <c r="J8" s="7">
        <v>2024</v>
      </c>
      <c r="K8" s="7">
        <v>7</v>
      </c>
      <c r="L8" s="7" t="s">
        <v>34</v>
      </c>
      <c r="M8" s="7">
        <v>1</v>
      </c>
      <c r="N8" s="7" t="s">
        <v>24</v>
      </c>
      <c r="O8" s="7" t="str">
        <f>IF(COUNTIFS(Table6[Day],Table6[[#This Row],[Day]],Table6[Time Slot],Table6[[#This Row],[Time Slot]],Table6[Faculty ID],Table6[[#This Row],[Faculty ID]])&gt;1,"Conflict","No Conflict")</f>
        <v>No Conflict</v>
      </c>
      <c r="Q8" s="68"/>
      <c r="R8" s="69"/>
    </row>
    <row r="9" spans="1:18" x14ac:dyDescent="0.3">
      <c r="A9" s="7" t="s">
        <v>77</v>
      </c>
      <c r="B9" s="7" t="s">
        <v>72</v>
      </c>
      <c r="C9" s="7" t="s">
        <v>54</v>
      </c>
      <c r="D9" s="7" t="s">
        <v>16</v>
      </c>
      <c r="E9" s="7" t="s">
        <v>78</v>
      </c>
      <c r="F9" s="7" t="s">
        <v>79</v>
      </c>
      <c r="G9" s="7" t="s">
        <v>80</v>
      </c>
      <c r="H9" s="7" t="s">
        <v>64</v>
      </c>
      <c r="I9" s="7" t="str">
        <f>_xlfn.XLOOKUP(Table6[[#This Row],[Room ID]],Table4[Room ID],Table4[Room Type])</f>
        <v>Lecture Hall</v>
      </c>
      <c r="J9" s="7">
        <v>2024</v>
      </c>
      <c r="K9" s="7">
        <v>8</v>
      </c>
      <c r="L9" s="7" t="s">
        <v>60</v>
      </c>
      <c r="M9" s="7">
        <v>2</v>
      </c>
      <c r="N9" s="7" t="s">
        <v>25</v>
      </c>
      <c r="O9" s="7" t="str">
        <f>IF(COUNTIFS(Table6[Day],Table6[[#This Row],[Day]],Table6[Time Slot],Table6[[#This Row],[Time Slot]],Table6[Faculty ID],Table6[[#This Row],[Faculty ID]])&gt;1,"Conflict","No Conflict")</f>
        <v>No Conflict</v>
      </c>
    </row>
    <row r="10" spans="1:18" x14ac:dyDescent="0.3">
      <c r="A10" s="7" t="s">
        <v>81</v>
      </c>
      <c r="B10" s="7" t="s">
        <v>36</v>
      </c>
      <c r="C10" s="7" t="s">
        <v>54</v>
      </c>
      <c r="D10" s="7" t="s">
        <v>46</v>
      </c>
      <c r="E10" s="7" t="s">
        <v>82</v>
      </c>
      <c r="F10" s="7" t="s">
        <v>83</v>
      </c>
      <c r="G10" s="7" t="s">
        <v>57</v>
      </c>
      <c r="H10" s="7" t="s">
        <v>84</v>
      </c>
      <c r="I10" s="7" t="str">
        <f>_xlfn.XLOOKUP(Table6[[#This Row],[Room ID]],Table4[Room ID],Table4[Room Type])</f>
        <v>Seminar Room</v>
      </c>
      <c r="J10" s="7">
        <v>2023</v>
      </c>
      <c r="K10" s="7">
        <v>3</v>
      </c>
      <c r="L10" s="7" t="s">
        <v>23</v>
      </c>
      <c r="M10" s="7">
        <v>2</v>
      </c>
      <c r="N10" s="7" t="s">
        <v>25</v>
      </c>
      <c r="O10" s="7" t="str">
        <f>IF(COUNTIFS(Table6[Day],Table6[[#This Row],[Day]],Table6[Time Slot],Table6[[#This Row],[Time Slot]],Table6[Faculty ID],Table6[[#This Row],[Faculty ID]])&gt;1,"Conflict","No Conflict")</f>
        <v>No Conflict</v>
      </c>
    </row>
    <row r="11" spans="1:18" x14ac:dyDescent="0.3">
      <c r="A11" s="7" t="s">
        <v>99</v>
      </c>
      <c r="B11" s="7" t="s">
        <v>36</v>
      </c>
      <c r="C11" s="7" t="s">
        <v>100</v>
      </c>
      <c r="D11" s="7" t="s">
        <v>28</v>
      </c>
      <c r="E11" s="7" t="s">
        <v>101</v>
      </c>
      <c r="F11" s="7" t="s">
        <v>102</v>
      </c>
      <c r="G11" s="7" t="s">
        <v>103</v>
      </c>
      <c r="H11" s="7" t="s">
        <v>104</v>
      </c>
      <c r="I11" s="7" t="str">
        <f>_xlfn.XLOOKUP(Table6[[#This Row],[Room ID]],Table4[Room ID],Table4[Room Type])</f>
        <v>Lecture Hall</v>
      </c>
      <c r="J11" s="7">
        <v>2022</v>
      </c>
      <c r="K11" s="7">
        <v>1</v>
      </c>
      <c r="L11" s="7" t="s">
        <v>23</v>
      </c>
      <c r="M11" s="7">
        <v>2</v>
      </c>
      <c r="N11" s="7" t="s">
        <v>25</v>
      </c>
      <c r="O11" s="7" t="str">
        <f>IF(COUNTIFS(Table6[Day],Table6[[#This Row],[Day]],Table6[Time Slot],Table6[[#This Row],[Time Slot]],Table6[Faculty ID],Table6[[#This Row],[Faculty ID]])&gt;1,"Conflict","No Conflict")</f>
        <v>No Conflict</v>
      </c>
    </row>
    <row r="12" spans="1:18" x14ac:dyDescent="0.3">
      <c r="A12" s="7" t="s">
        <v>105</v>
      </c>
      <c r="B12" s="7" t="s">
        <v>53</v>
      </c>
      <c r="C12" s="7" t="s">
        <v>86</v>
      </c>
      <c r="D12" s="7" t="s">
        <v>16</v>
      </c>
      <c r="E12" s="7" t="s">
        <v>106</v>
      </c>
      <c r="F12" s="7" t="s">
        <v>48</v>
      </c>
      <c r="G12" s="7" t="s">
        <v>107</v>
      </c>
      <c r="H12" s="7" t="s">
        <v>94</v>
      </c>
      <c r="I12" s="7" t="str">
        <f>_xlfn.XLOOKUP(Table6[[#This Row],[Room ID]],Table4[Room ID],Table4[Room Type])</f>
        <v>Lecture Hall</v>
      </c>
      <c r="J12" s="7">
        <v>2022</v>
      </c>
      <c r="K12" s="7">
        <v>8</v>
      </c>
      <c r="L12" s="7" t="s">
        <v>95</v>
      </c>
      <c r="M12" s="7">
        <v>1</v>
      </c>
      <c r="N12" s="7" t="s">
        <v>24</v>
      </c>
      <c r="O12" s="7" t="str">
        <f>IF(COUNTIFS(Table6[Day],Table6[[#This Row],[Day]],Table6[Time Slot],Table6[[#This Row],[Time Slot]],Table6[Faculty ID],Table6[[#This Row],[Faculty ID]])&gt;1,"Conflict","No Conflict")</f>
        <v>No Conflict</v>
      </c>
    </row>
    <row r="13" spans="1:18" x14ac:dyDescent="0.3">
      <c r="A13" s="7" t="s">
        <v>108</v>
      </c>
      <c r="B13" s="7" t="s">
        <v>72</v>
      </c>
      <c r="C13" s="7" t="s">
        <v>54</v>
      </c>
      <c r="D13" s="7" t="s">
        <v>28</v>
      </c>
      <c r="E13" s="7" t="s">
        <v>109</v>
      </c>
      <c r="F13" s="7" t="s">
        <v>110</v>
      </c>
      <c r="G13" s="7" t="s">
        <v>111</v>
      </c>
      <c r="H13" s="7" t="s">
        <v>112</v>
      </c>
      <c r="I13" s="7" t="str">
        <f>_xlfn.XLOOKUP(Table6[[#This Row],[Room ID]],Table4[Room ID],Table4[Room Type])</f>
        <v>Lab</v>
      </c>
      <c r="J13" s="7">
        <v>2024</v>
      </c>
      <c r="K13" s="7">
        <v>1</v>
      </c>
      <c r="L13" s="7" t="s">
        <v>23</v>
      </c>
      <c r="M13" s="7">
        <v>2</v>
      </c>
      <c r="N13" s="7" t="s">
        <v>25</v>
      </c>
      <c r="O13" s="7" t="str">
        <f>IF(COUNTIFS(Table6[Day],Table6[[#This Row],[Day]],Table6[Time Slot],Table6[[#This Row],[Time Slot]],Table6[Faculty ID],Table6[[#This Row],[Faculty ID]])&gt;1,"Conflict","No Conflict")</f>
        <v>No Conflict</v>
      </c>
    </row>
    <row r="14" spans="1:18" x14ac:dyDescent="0.3">
      <c r="A14" s="7" t="s">
        <v>113</v>
      </c>
      <c r="B14" s="7" t="s">
        <v>14</v>
      </c>
      <c r="C14" s="7" t="s">
        <v>15</v>
      </c>
      <c r="D14" s="7" t="s">
        <v>114</v>
      </c>
      <c r="E14" s="7" t="s">
        <v>115</v>
      </c>
      <c r="F14" s="7" t="s">
        <v>110</v>
      </c>
      <c r="G14" s="7" t="s">
        <v>116</v>
      </c>
      <c r="H14" s="7" t="s">
        <v>117</v>
      </c>
      <c r="I14" s="7" t="str">
        <f>_xlfn.XLOOKUP(Table6[[#This Row],[Room ID]],Table4[Room ID],Table4[Room Type])</f>
        <v>Smart Classroom</v>
      </c>
      <c r="J14" s="7">
        <v>2024</v>
      </c>
      <c r="K14" s="7">
        <v>3</v>
      </c>
      <c r="L14" s="7" t="s">
        <v>60</v>
      </c>
      <c r="M14" s="7">
        <v>2</v>
      </c>
      <c r="N14" s="7" t="s">
        <v>25</v>
      </c>
      <c r="O14" s="7" t="str">
        <f>IF(COUNTIFS(Table6[Day],Table6[[#This Row],[Day]],Table6[Time Slot],Table6[[#This Row],[Time Slot]],Table6[Faculty ID],Table6[[#This Row],[Faculty ID]])&gt;1,"Conflict","No Conflict")</f>
        <v>No Conflict</v>
      </c>
    </row>
    <row r="15" spans="1:18" x14ac:dyDescent="0.3">
      <c r="A15" s="7" t="s">
        <v>118</v>
      </c>
      <c r="B15" s="7" t="s">
        <v>53</v>
      </c>
      <c r="C15" s="7" t="s">
        <v>86</v>
      </c>
      <c r="D15" s="7" t="s">
        <v>16</v>
      </c>
      <c r="E15" s="7" t="s">
        <v>119</v>
      </c>
      <c r="F15" s="7" t="s">
        <v>120</v>
      </c>
      <c r="G15" s="7" t="s">
        <v>89</v>
      </c>
      <c r="H15" s="7" t="s">
        <v>50</v>
      </c>
      <c r="I15" s="7" t="str">
        <f>_xlfn.XLOOKUP(Table6[[#This Row],[Room ID]],Table4[Room ID],Table4[Room Type])</f>
        <v>Lecture Hall</v>
      </c>
      <c r="J15" s="7">
        <v>2022</v>
      </c>
      <c r="K15" s="7">
        <v>3</v>
      </c>
      <c r="L15" s="7" t="s">
        <v>34</v>
      </c>
      <c r="M15" s="7">
        <v>2</v>
      </c>
      <c r="N15" s="7" t="s">
        <v>25</v>
      </c>
      <c r="O15" s="7" t="str">
        <f>IF(COUNTIFS(Table6[Day],Table6[[#This Row],[Day]],Table6[Time Slot],Table6[[#This Row],[Time Slot]],Table6[Faculty ID],Table6[[#This Row],[Faculty ID]])&gt;1,"Conflict","No Conflict")</f>
        <v>No Conflict</v>
      </c>
    </row>
    <row r="16" spans="1:18" x14ac:dyDescent="0.3">
      <c r="A16" s="7" t="s">
        <v>125</v>
      </c>
      <c r="B16" s="7" t="s">
        <v>53</v>
      </c>
      <c r="C16" s="7" t="s">
        <v>86</v>
      </c>
      <c r="D16" s="7" t="s">
        <v>28</v>
      </c>
      <c r="E16" s="7" t="s">
        <v>126</v>
      </c>
      <c r="F16" s="7" t="s">
        <v>127</v>
      </c>
      <c r="G16" s="7" t="s">
        <v>19</v>
      </c>
      <c r="H16" s="7" t="s">
        <v>70</v>
      </c>
      <c r="I16" s="7" t="str">
        <f>_xlfn.XLOOKUP(Table6[[#This Row],[Room ID]],Table4[Room ID],Table4[Room Type])</f>
        <v>Seminar Room</v>
      </c>
      <c r="J16" s="7">
        <v>2021</v>
      </c>
      <c r="K16" s="7">
        <v>1</v>
      </c>
      <c r="L16" s="7" t="s">
        <v>34</v>
      </c>
      <c r="M16" s="7">
        <v>2</v>
      </c>
      <c r="N16" s="7" t="s">
        <v>25</v>
      </c>
      <c r="O16" s="7" t="str">
        <f>IF(COUNTIFS(Table6[Day],Table6[[#This Row],[Day]],Table6[Time Slot],Table6[[#This Row],[Time Slot]],Table6[Faculty ID],Table6[[#This Row],[Faculty ID]])&gt;1,"Conflict","No Conflict")</f>
        <v>No Conflict</v>
      </c>
    </row>
    <row r="17" spans="1:15" x14ac:dyDescent="0.3">
      <c r="A17" s="7" t="s">
        <v>128</v>
      </c>
      <c r="B17" s="7" t="s">
        <v>27</v>
      </c>
      <c r="C17" s="7" t="s">
        <v>45</v>
      </c>
      <c r="D17" s="7" t="s">
        <v>16</v>
      </c>
      <c r="E17" s="7" t="s">
        <v>129</v>
      </c>
      <c r="F17" s="7" t="s">
        <v>130</v>
      </c>
      <c r="G17" s="7" t="s">
        <v>131</v>
      </c>
      <c r="H17" s="7" t="s">
        <v>76</v>
      </c>
      <c r="I17" s="7" t="str">
        <f>_xlfn.XLOOKUP(Table6[[#This Row],[Room ID]],Table4[Room ID],Table4[Room Type])</f>
        <v>Seminar Room</v>
      </c>
      <c r="J17" s="7">
        <v>2021</v>
      </c>
      <c r="K17" s="7">
        <v>4</v>
      </c>
      <c r="L17" s="7" t="s">
        <v>23</v>
      </c>
      <c r="M17" s="7">
        <v>2</v>
      </c>
      <c r="N17" s="7" t="s">
        <v>25</v>
      </c>
      <c r="O17" s="7" t="str">
        <f>IF(COUNTIFS(Table6[Day],Table6[[#This Row],[Day]],Table6[Time Slot],Table6[[#This Row],[Time Slot]],Table6[Faculty ID],Table6[[#This Row],[Faculty ID]])&gt;1,"Conflict","No Conflict")</f>
        <v>No Conflict</v>
      </c>
    </row>
    <row r="18" spans="1:15" x14ac:dyDescent="0.3">
      <c r="A18" s="7" t="s">
        <v>132</v>
      </c>
      <c r="B18" s="7" t="s">
        <v>72</v>
      </c>
      <c r="C18" s="7" t="s">
        <v>133</v>
      </c>
      <c r="D18" s="7" t="s">
        <v>114</v>
      </c>
      <c r="E18" s="7" t="s">
        <v>134</v>
      </c>
      <c r="F18" s="7" t="s">
        <v>135</v>
      </c>
      <c r="G18" s="7" t="s">
        <v>136</v>
      </c>
      <c r="H18" s="7" t="s">
        <v>76</v>
      </c>
      <c r="I18" s="7" t="str">
        <f>_xlfn.XLOOKUP(Table6[[#This Row],[Room ID]],Table4[Room ID],Table4[Room Type])</f>
        <v>Seminar Room</v>
      </c>
      <c r="J18" s="7">
        <v>2022</v>
      </c>
      <c r="K18" s="7">
        <v>5</v>
      </c>
      <c r="L18" s="7" t="s">
        <v>34</v>
      </c>
      <c r="M18" s="7">
        <v>2</v>
      </c>
      <c r="N18" s="7" t="s">
        <v>25</v>
      </c>
      <c r="O18" s="7" t="str">
        <f>IF(COUNTIFS(Table6[Day],Table6[[#This Row],[Day]],Table6[Time Slot],Table6[[#This Row],[Time Slot]],Table6[Faculty ID],Table6[[#This Row],[Faculty ID]])&gt;1,"Conflict","No Conflict")</f>
        <v>No Conflict</v>
      </c>
    </row>
    <row r="19" spans="1:15" x14ac:dyDescent="0.3">
      <c r="A19" s="7" t="s">
        <v>137</v>
      </c>
      <c r="B19" s="7" t="s">
        <v>53</v>
      </c>
      <c r="C19" s="7" t="s">
        <v>86</v>
      </c>
      <c r="D19" s="7" t="s">
        <v>66</v>
      </c>
      <c r="E19" s="7" t="s">
        <v>67</v>
      </c>
      <c r="F19" s="7" t="s">
        <v>138</v>
      </c>
      <c r="G19" s="7" t="s">
        <v>139</v>
      </c>
      <c r="H19" s="7" t="s">
        <v>124</v>
      </c>
      <c r="I19" s="7" t="str">
        <f>_xlfn.XLOOKUP(Table6[[#This Row],[Room ID]],Table4[Room ID],Table4[Room Type])</f>
        <v>Seminar Room</v>
      </c>
      <c r="J19" s="7">
        <v>2022</v>
      </c>
      <c r="K19" s="7">
        <v>6</v>
      </c>
      <c r="L19" s="7" t="s">
        <v>23</v>
      </c>
      <c r="M19" s="7">
        <v>2</v>
      </c>
      <c r="N19" s="7" t="s">
        <v>25</v>
      </c>
      <c r="O19" s="7" t="str">
        <f>IF(COUNTIFS(Table6[Day],Table6[[#This Row],[Day]],Table6[Time Slot],Table6[[#This Row],[Time Slot]],Table6[Faculty ID],Table6[[#This Row],[Faculty ID]])&gt;1,"Conflict","No Conflict")</f>
        <v>No Conflict</v>
      </c>
    </row>
    <row r="20" spans="1:15" x14ac:dyDescent="0.3">
      <c r="A20" s="7" t="s">
        <v>140</v>
      </c>
      <c r="B20" s="7" t="s">
        <v>27</v>
      </c>
      <c r="C20" s="7" t="s">
        <v>141</v>
      </c>
      <c r="D20" s="7" t="s">
        <v>46</v>
      </c>
      <c r="E20" s="7" t="s">
        <v>142</v>
      </c>
      <c r="F20" s="7" t="s">
        <v>143</v>
      </c>
      <c r="G20" s="7" t="s">
        <v>31</v>
      </c>
      <c r="H20" s="7" t="s">
        <v>144</v>
      </c>
      <c r="I20" s="7" t="str">
        <f>_xlfn.XLOOKUP(Table6[[#This Row],[Room ID]],Table4[Room ID],Table4[Room Type])</f>
        <v>Seminar Room</v>
      </c>
      <c r="J20" s="7">
        <v>2023</v>
      </c>
      <c r="K20" s="7">
        <v>2</v>
      </c>
      <c r="L20" s="7" t="s">
        <v>95</v>
      </c>
      <c r="M20" s="7">
        <v>1</v>
      </c>
      <c r="N20" s="7" t="s">
        <v>24</v>
      </c>
      <c r="O20" s="7" t="str">
        <f>IF(COUNTIFS(Table6[Day],Table6[[#This Row],[Day]],Table6[Time Slot],Table6[[#This Row],[Time Slot]],Table6[Faculty ID],Table6[[#This Row],[Faculty ID]])&gt;1,"Conflict","No Conflict")</f>
        <v>No Conflict</v>
      </c>
    </row>
    <row r="21" spans="1:15" x14ac:dyDescent="0.3">
      <c r="A21" s="7" t="s">
        <v>145</v>
      </c>
      <c r="B21" s="7" t="s">
        <v>36</v>
      </c>
      <c r="C21" s="7" t="s">
        <v>141</v>
      </c>
      <c r="D21" s="7" t="s">
        <v>16</v>
      </c>
      <c r="E21" s="7" t="s">
        <v>78</v>
      </c>
      <c r="F21" s="7" t="s">
        <v>146</v>
      </c>
      <c r="G21" s="7" t="s">
        <v>147</v>
      </c>
      <c r="H21" s="7" t="s">
        <v>42</v>
      </c>
      <c r="I21" s="7" t="str">
        <f>_xlfn.XLOOKUP(Table6[[#This Row],[Room ID]],Table4[Room ID],Table4[Room Type])</f>
        <v>Smart Classroom</v>
      </c>
      <c r="J21" s="7">
        <v>2022</v>
      </c>
      <c r="K21" s="7">
        <v>5</v>
      </c>
      <c r="L21" s="7" t="s">
        <v>34</v>
      </c>
      <c r="M21" s="7">
        <v>2</v>
      </c>
      <c r="N21" s="7" t="s">
        <v>25</v>
      </c>
      <c r="O21" s="7" t="str">
        <f>IF(COUNTIFS(Table6[Day],Table6[[#This Row],[Day]],Table6[Time Slot],Table6[[#This Row],[Time Slot]],Table6[Faculty ID],Table6[[#This Row],[Faculty ID]])&gt;1,"Conflict","No Conflict")</f>
        <v>No Conflict</v>
      </c>
    </row>
    <row r="22" spans="1:15" x14ac:dyDescent="0.3">
      <c r="A22" s="7" t="s">
        <v>148</v>
      </c>
      <c r="B22" s="7" t="s">
        <v>53</v>
      </c>
      <c r="C22" s="7" t="s">
        <v>100</v>
      </c>
      <c r="D22" s="7" t="s">
        <v>16</v>
      </c>
      <c r="E22" s="7" t="s">
        <v>149</v>
      </c>
      <c r="F22" s="7" t="s">
        <v>40</v>
      </c>
      <c r="G22" s="7" t="s">
        <v>150</v>
      </c>
      <c r="H22" s="7" t="s">
        <v>117</v>
      </c>
      <c r="I22" s="7" t="str">
        <f>_xlfn.XLOOKUP(Table6[[#This Row],[Room ID]],Table4[Room ID],Table4[Room Type])</f>
        <v>Smart Classroom</v>
      </c>
      <c r="J22" s="7">
        <v>2022</v>
      </c>
      <c r="K22" s="7">
        <v>8</v>
      </c>
      <c r="L22" s="7" t="s">
        <v>34</v>
      </c>
      <c r="M22" s="7">
        <v>1</v>
      </c>
      <c r="N22" s="7" t="s">
        <v>24</v>
      </c>
      <c r="O22" s="7" t="str">
        <f>IF(COUNTIFS(Table6[Day],Table6[[#This Row],[Day]],Table6[Time Slot],Table6[[#This Row],[Time Slot]],Table6[Faculty ID],Table6[[#This Row],[Faculty ID]])&gt;1,"Conflict","No Conflict")</f>
        <v>No Conflict</v>
      </c>
    </row>
    <row r="23" spans="1:15" x14ac:dyDescent="0.3">
      <c r="A23" s="7" t="s">
        <v>151</v>
      </c>
      <c r="B23" s="7" t="s">
        <v>36</v>
      </c>
      <c r="C23" s="7" t="s">
        <v>86</v>
      </c>
      <c r="D23" s="7" t="s">
        <v>16</v>
      </c>
      <c r="E23" s="7" t="s">
        <v>17</v>
      </c>
      <c r="F23" s="7" t="s">
        <v>79</v>
      </c>
      <c r="G23" s="7" t="s">
        <v>111</v>
      </c>
      <c r="H23" s="7" t="s">
        <v>117</v>
      </c>
      <c r="I23" s="7" t="str">
        <f>_xlfn.XLOOKUP(Table6[[#This Row],[Room ID]],Table4[Room ID],Table4[Room Type])</f>
        <v>Smart Classroom</v>
      </c>
      <c r="J23" s="7">
        <v>2021</v>
      </c>
      <c r="K23" s="7">
        <v>5</v>
      </c>
      <c r="L23" s="7" t="s">
        <v>60</v>
      </c>
      <c r="M23" s="7">
        <v>2</v>
      </c>
      <c r="N23" s="7" t="s">
        <v>25</v>
      </c>
      <c r="O23" s="7" t="str">
        <f>IF(COUNTIFS(Table6[Day],Table6[[#This Row],[Day]],Table6[Time Slot],Table6[[#This Row],[Time Slot]],Table6[Faculty ID],Table6[[#This Row],[Faculty ID]])&gt;1,"Conflict","No Conflict")</f>
        <v>No Conflict</v>
      </c>
    </row>
    <row r="24" spans="1:15" x14ac:dyDescent="0.3">
      <c r="A24" s="7" t="s">
        <v>152</v>
      </c>
      <c r="B24" s="7" t="s">
        <v>36</v>
      </c>
      <c r="C24" s="7" t="s">
        <v>86</v>
      </c>
      <c r="D24" s="7" t="s">
        <v>28</v>
      </c>
      <c r="E24" s="7" t="s">
        <v>153</v>
      </c>
      <c r="F24" s="7" t="s">
        <v>74</v>
      </c>
      <c r="G24" s="7" t="s">
        <v>154</v>
      </c>
      <c r="H24" s="7" t="s">
        <v>155</v>
      </c>
      <c r="I24" s="7" t="str">
        <f>_xlfn.XLOOKUP(Table6[[#This Row],[Room ID]],Table4[Room ID],Table4[Room Type])</f>
        <v>Lab</v>
      </c>
      <c r="J24" s="7">
        <v>2022</v>
      </c>
      <c r="K24" s="7">
        <v>3</v>
      </c>
      <c r="L24" s="7" t="s">
        <v>95</v>
      </c>
      <c r="M24" s="7">
        <v>2</v>
      </c>
      <c r="N24" s="7" t="s">
        <v>25</v>
      </c>
      <c r="O24" s="7" t="str">
        <f>IF(COUNTIFS(Table6[Day],Table6[[#This Row],[Day]],Table6[Time Slot],Table6[[#This Row],[Time Slot]],Table6[Faculty ID],Table6[[#This Row],[Faculty ID]])&gt;1,"Conflict","No Conflict")</f>
        <v>Conflict</v>
      </c>
    </row>
    <row r="25" spans="1:15" x14ac:dyDescent="0.3">
      <c r="A25" s="7" t="s">
        <v>156</v>
      </c>
      <c r="B25" s="7" t="s">
        <v>72</v>
      </c>
      <c r="C25" s="7" t="s">
        <v>15</v>
      </c>
      <c r="D25" s="7" t="s">
        <v>38</v>
      </c>
      <c r="E25" s="7" t="s">
        <v>157</v>
      </c>
      <c r="F25" s="7" t="s">
        <v>83</v>
      </c>
      <c r="G25" s="7" t="s">
        <v>158</v>
      </c>
      <c r="H25" s="7" t="s">
        <v>20</v>
      </c>
      <c r="I25" s="7" t="str">
        <f>_xlfn.XLOOKUP(Table6[[#This Row],[Room ID]],Table4[Room ID],Table4[Room Type])</f>
        <v>Smart Classroom</v>
      </c>
      <c r="J25" s="7">
        <v>2021</v>
      </c>
      <c r="K25" s="7">
        <v>8</v>
      </c>
      <c r="L25" s="7" t="s">
        <v>95</v>
      </c>
      <c r="M25" s="7">
        <v>1</v>
      </c>
      <c r="N25" s="7" t="s">
        <v>24</v>
      </c>
      <c r="O25" s="7" t="str">
        <f>IF(COUNTIFS(Table6[Day],Table6[[#This Row],[Day]],Table6[Time Slot],Table6[[#This Row],[Time Slot]],Table6[Faculty ID],Table6[[#This Row],[Faculty ID]])&gt;1,"Conflict","No Conflict")</f>
        <v>No Conflict</v>
      </c>
    </row>
    <row r="26" spans="1:15" x14ac:dyDescent="0.3">
      <c r="A26" s="7" t="s">
        <v>159</v>
      </c>
      <c r="B26" s="7" t="s">
        <v>14</v>
      </c>
      <c r="C26" s="7" t="s">
        <v>100</v>
      </c>
      <c r="D26" s="7" t="s">
        <v>114</v>
      </c>
      <c r="E26" s="7" t="s">
        <v>160</v>
      </c>
      <c r="F26" s="7" t="s">
        <v>161</v>
      </c>
      <c r="G26" s="7" t="s">
        <v>162</v>
      </c>
      <c r="H26" s="7" t="s">
        <v>76</v>
      </c>
      <c r="I26" s="7" t="str">
        <f>_xlfn.XLOOKUP(Table6[[#This Row],[Room ID]],Table4[Room ID],Table4[Room Type])</f>
        <v>Seminar Room</v>
      </c>
      <c r="J26" s="7">
        <v>2023</v>
      </c>
      <c r="K26" s="7">
        <v>5</v>
      </c>
      <c r="L26" s="7" t="s">
        <v>23</v>
      </c>
      <c r="M26" s="7">
        <v>2</v>
      </c>
      <c r="N26" s="7" t="s">
        <v>25</v>
      </c>
      <c r="O26" s="7" t="str">
        <f>IF(COUNTIFS(Table6[Day],Table6[[#This Row],[Day]],Table6[Time Slot],Table6[[#This Row],[Time Slot]],Table6[Faculty ID],Table6[[#This Row],[Faculty ID]])&gt;1,"Conflict","No Conflict")</f>
        <v>No Conflict</v>
      </c>
    </row>
    <row r="27" spans="1:15" x14ac:dyDescent="0.3">
      <c r="A27" s="7" t="s">
        <v>163</v>
      </c>
      <c r="B27" s="7" t="s">
        <v>53</v>
      </c>
      <c r="C27" s="7" t="s">
        <v>45</v>
      </c>
      <c r="D27" s="7" t="s">
        <v>164</v>
      </c>
      <c r="E27" s="7" t="s">
        <v>165</v>
      </c>
      <c r="F27" s="7" t="s">
        <v>166</v>
      </c>
      <c r="G27" s="7" t="s">
        <v>136</v>
      </c>
      <c r="H27" s="7" t="s">
        <v>167</v>
      </c>
      <c r="I27" s="7" t="str">
        <f>_xlfn.XLOOKUP(Table6[[#This Row],[Room ID]],Table4[Room ID],Table4[Room Type])</f>
        <v>Lab</v>
      </c>
      <c r="J27" s="7">
        <v>2021</v>
      </c>
      <c r="K27" s="7">
        <v>2</v>
      </c>
      <c r="L27" s="7" t="s">
        <v>34</v>
      </c>
      <c r="M27" s="7">
        <v>1</v>
      </c>
      <c r="N27" s="7" t="s">
        <v>24</v>
      </c>
      <c r="O27" s="7" t="str">
        <f>IF(COUNTIFS(Table6[Day],Table6[[#This Row],[Day]],Table6[Time Slot],Table6[[#This Row],[Time Slot]],Table6[Faculty ID],Table6[[#This Row],[Faculty ID]])&gt;1,"Conflict","No Conflict")</f>
        <v>No Conflict</v>
      </c>
    </row>
    <row r="28" spans="1:15" x14ac:dyDescent="0.3">
      <c r="A28" s="7" t="s">
        <v>168</v>
      </c>
      <c r="B28" s="7" t="s">
        <v>169</v>
      </c>
      <c r="C28" s="7" t="s">
        <v>15</v>
      </c>
      <c r="D28" s="7" t="s">
        <v>164</v>
      </c>
      <c r="E28" s="7" t="s">
        <v>170</v>
      </c>
      <c r="F28" s="7" t="s">
        <v>63</v>
      </c>
      <c r="G28" s="7" t="s">
        <v>171</v>
      </c>
      <c r="H28" s="7" t="s">
        <v>172</v>
      </c>
      <c r="I28" s="7" t="str">
        <f>_xlfn.XLOOKUP(Table6[[#This Row],[Room ID]],Table4[Room ID],Table4[Room Type])</f>
        <v>Lab</v>
      </c>
      <c r="J28" s="7">
        <v>2021</v>
      </c>
      <c r="K28" s="7">
        <v>4</v>
      </c>
      <c r="L28" s="7" t="s">
        <v>60</v>
      </c>
      <c r="M28" s="7">
        <v>2</v>
      </c>
      <c r="N28" s="7" t="s">
        <v>25</v>
      </c>
      <c r="O28" s="7" t="str">
        <f>IF(COUNTIFS(Table6[Day],Table6[[#This Row],[Day]],Table6[Time Slot],Table6[[#This Row],[Time Slot]],Table6[Faculty ID],Table6[[#This Row],[Faculty ID]])&gt;1,"Conflict","No Conflict")</f>
        <v>No Conflict</v>
      </c>
    </row>
    <row r="29" spans="1:15" x14ac:dyDescent="0.3">
      <c r="A29" s="7" t="s">
        <v>178</v>
      </c>
      <c r="B29" s="7" t="s">
        <v>72</v>
      </c>
      <c r="C29" s="7" t="s">
        <v>37</v>
      </c>
      <c r="D29" s="7" t="s">
        <v>28</v>
      </c>
      <c r="E29" s="7" t="s">
        <v>179</v>
      </c>
      <c r="F29" s="7" t="s">
        <v>180</v>
      </c>
      <c r="G29" s="7" t="s">
        <v>69</v>
      </c>
      <c r="H29" s="7" t="s">
        <v>181</v>
      </c>
      <c r="I29" s="7" t="str">
        <f>_xlfn.XLOOKUP(Table6[[#This Row],[Room ID]],Table4[Room ID],Table4[Room Type])</f>
        <v>Lecture Hall</v>
      </c>
      <c r="J29" s="7">
        <v>2021</v>
      </c>
      <c r="K29" s="7">
        <v>5</v>
      </c>
      <c r="L29" s="7" t="s">
        <v>60</v>
      </c>
      <c r="M29" s="7">
        <v>1</v>
      </c>
      <c r="N29" s="7" t="s">
        <v>24</v>
      </c>
      <c r="O29" s="7" t="str">
        <f>IF(COUNTIFS(Table6[Day],Table6[[#This Row],[Day]],Table6[Time Slot],Table6[[#This Row],[Time Slot]],Table6[Faculty ID],Table6[[#This Row],[Faculty ID]])&gt;1,"Conflict","No Conflict")</f>
        <v>No Conflict</v>
      </c>
    </row>
    <row r="30" spans="1:15" x14ac:dyDescent="0.3">
      <c r="A30" s="7" t="s">
        <v>182</v>
      </c>
      <c r="B30" s="7" t="s">
        <v>169</v>
      </c>
      <c r="C30" s="7" t="s">
        <v>15</v>
      </c>
      <c r="D30" s="7" t="s">
        <v>114</v>
      </c>
      <c r="E30" s="7" t="s">
        <v>183</v>
      </c>
      <c r="F30" s="7" t="s">
        <v>138</v>
      </c>
      <c r="G30" s="7" t="s">
        <v>184</v>
      </c>
      <c r="H30" s="7" t="s">
        <v>185</v>
      </c>
      <c r="I30" s="7" t="str">
        <f>_xlfn.XLOOKUP(Table6[[#This Row],[Room ID]],Table4[Room ID],Table4[Room Type])</f>
        <v>Smart Classroom</v>
      </c>
      <c r="J30" s="7">
        <v>2023</v>
      </c>
      <c r="K30" s="7">
        <v>6</v>
      </c>
      <c r="L30" s="7" t="s">
        <v>23</v>
      </c>
      <c r="M30" s="7">
        <v>1</v>
      </c>
      <c r="N30" s="7" t="s">
        <v>24</v>
      </c>
      <c r="O30" s="7" t="str">
        <f>IF(COUNTIFS(Table6[Day],Table6[[#This Row],[Day]],Table6[Time Slot],Table6[[#This Row],[Time Slot]],Table6[Faculty ID],Table6[[#This Row],[Faculty ID]])&gt;1,"Conflict","No Conflict")</f>
        <v>No Conflict</v>
      </c>
    </row>
    <row r="31" spans="1:15" x14ac:dyDescent="0.3">
      <c r="A31" s="7" t="s">
        <v>186</v>
      </c>
      <c r="B31" s="7" t="s">
        <v>53</v>
      </c>
      <c r="C31" s="7" t="s">
        <v>100</v>
      </c>
      <c r="D31" s="7" t="s">
        <v>28</v>
      </c>
      <c r="E31" s="7" t="s">
        <v>187</v>
      </c>
      <c r="F31" s="7" t="s">
        <v>188</v>
      </c>
      <c r="G31" s="7" t="s">
        <v>184</v>
      </c>
      <c r="H31" s="7" t="s">
        <v>189</v>
      </c>
      <c r="I31" s="7" t="str">
        <f>_xlfn.XLOOKUP(Table6[[#This Row],[Room ID]],Table4[Room ID],Table4[Room Type])</f>
        <v>Smart Classroom</v>
      </c>
      <c r="J31" s="7">
        <v>2024</v>
      </c>
      <c r="K31" s="7">
        <v>7</v>
      </c>
      <c r="L31" s="7" t="s">
        <v>95</v>
      </c>
      <c r="M31" s="7">
        <v>2</v>
      </c>
      <c r="N31" s="7" t="s">
        <v>25</v>
      </c>
      <c r="O31" s="7" t="str">
        <f>IF(COUNTIFS(Table6[Day],Table6[[#This Row],[Day]],Table6[Time Slot],Table6[[#This Row],[Time Slot]],Table6[Faculty ID],Table6[[#This Row],[Faculty ID]])&gt;1,"Conflict","No Conflict")</f>
        <v>No Conflict</v>
      </c>
    </row>
    <row r="32" spans="1:15" x14ac:dyDescent="0.3">
      <c r="A32" s="7" t="s">
        <v>190</v>
      </c>
      <c r="B32" s="7" t="s">
        <v>72</v>
      </c>
      <c r="C32" s="7" t="s">
        <v>100</v>
      </c>
      <c r="D32" s="7" t="s">
        <v>164</v>
      </c>
      <c r="E32" s="7" t="s">
        <v>165</v>
      </c>
      <c r="F32" s="7" t="s">
        <v>74</v>
      </c>
      <c r="G32" s="7" t="s">
        <v>41</v>
      </c>
      <c r="H32" s="7" t="s">
        <v>20</v>
      </c>
      <c r="I32" s="7" t="str">
        <f>_xlfn.XLOOKUP(Table6[[#This Row],[Room ID]],Table4[Room ID],Table4[Room Type])</f>
        <v>Smart Classroom</v>
      </c>
      <c r="J32" s="7">
        <v>2024</v>
      </c>
      <c r="K32" s="7">
        <v>4</v>
      </c>
      <c r="L32" s="7" t="s">
        <v>95</v>
      </c>
      <c r="M32" s="7">
        <v>2</v>
      </c>
      <c r="N32" s="7" t="s">
        <v>25</v>
      </c>
      <c r="O32" s="7" t="str">
        <f>IF(COUNTIFS(Table6[Day],Table6[[#This Row],[Day]],Table6[Time Slot],Table6[[#This Row],[Time Slot]],Table6[Faculty ID],Table6[[#This Row],[Faculty ID]])&gt;1,"Conflict","No Conflict")</f>
        <v>No Conflict</v>
      </c>
    </row>
    <row r="33" spans="1:15" x14ac:dyDescent="0.3">
      <c r="A33" s="7" t="s">
        <v>197</v>
      </c>
      <c r="B33" s="7" t="s">
        <v>72</v>
      </c>
      <c r="C33" s="7" t="s">
        <v>141</v>
      </c>
      <c r="D33" s="7" t="s">
        <v>198</v>
      </c>
      <c r="E33" s="7" t="s">
        <v>199</v>
      </c>
      <c r="F33" s="7" t="s">
        <v>135</v>
      </c>
      <c r="G33" s="7" t="s">
        <v>150</v>
      </c>
      <c r="H33" s="7" t="s">
        <v>144</v>
      </c>
      <c r="I33" s="7" t="str">
        <f>_xlfn.XLOOKUP(Table6[[#This Row],[Room ID]],Table4[Room ID],Table4[Room Type])</f>
        <v>Seminar Room</v>
      </c>
      <c r="J33" s="7">
        <v>2024</v>
      </c>
      <c r="K33" s="7">
        <v>4</v>
      </c>
      <c r="L33" s="7" t="s">
        <v>60</v>
      </c>
      <c r="M33" s="7">
        <v>2</v>
      </c>
      <c r="N33" s="7" t="s">
        <v>25</v>
      </c>
      <c r="O33" s="7" t="str">
        <f>IF(COUNTIFS(Table6[Day],Table6[[#This Row],[Day]],Table6[Time Slot],Table6[[#This Row],[Time Slot]],Table6[Faculty ID],Table6[[#This Row],[Faculty ID]])&gt;1,"Conflict","No Conflict")</f>
        <v>No Conflict</v>
      </c>
    </row>
    <row r="34" spans="1:15" x14ac:dyDescent="0.3">
      <c r="A34" s="7" t="s">
        <v>203</v>
      </c>
      <c r="B34" s="7" t="s">
        <v>36</v>
      </c>
      <c r="C34" s="7" t="s">
        <v>86</v>
      </c>
      <c r="D34" s="7" t="s">
        <v>16</v>
      </c>
      <c r="E34" s="7" t="s">
        <v>204</v>
      </c>
      <c r="F34" s="7" t="s">
        <v>180</v>
      </c>
      <c r="G34" s="7" t="s">
        <v>154</v>
      </c>
      <c r="H34" s="7" t="s">
        <v>205</v>
      </c>
      <c r="I34" s="7" t="str">
        <f>_xlfn.XLOOKUP(Table6[[#This Row],[Room ID]],Table4[Room ID],Table4[Room Type])</f>
        <v>Seminar Room</v>
      </c>
      <c r="J34" s="7">
        <v>2024</v>
      </c>
      <c r="K34" s="7">
        <v>7</v>
      </c>
      <c r="L34" s="7" t="s">
        <v>23</v>
      </c>
      <c r="M34" s="7">
        <v>1</v>
      </c>
      <c r="N34" s="7" t="s">
        <v>24</v>
      </c>
      <c r="O34" s="7" t="str">
        <f>IF(COUNTIFS(Table6[Day],Table6[[#This Row],[Day]],Table6[Time Slot],Table6[[#This Row],[Time Slot]],Table6[Faculty ID],Table6[[#This Row],[Faculty ID]])&gt;1,"Conflict","No Conflict")</f>
        <v>Conflict</v>
      </c>
    </row>
    <row r="35" spans="1:15" x14ac:dyDescent="0.3">
      <c r="A35" s="7" t="s">
        <v>206</v>
      </c>
      <c r="B35" s="7" t="s">
        <v>169</v>
      </c>
      <c r="C35" s="7" t="s">
        <v>54</v>
      </c>
      <c r="D35" s="7" t="s">
        <v>66</v>
      </c>
      <c r="E35" s="7" t="s">
        <v>207</v>
      </c>
      <c r="F35" s="7" t="s">
        <v>208</v>
      </c>
      <c r="G35" s="7" t="s">
        <v>19</v>
      </c>
      <c r="H35" s="7" t="s">
        <v>32</v>
      </c>
      <c r="I35" s="7" t="str">
        <f>_xlfn.XLOOKUP(Table6[[#This Row],[Room ID]],Table4[Room ID],Table4[Room Type])</f>
        <v>Lab</v>
      </c>
      <c r="J35" s="7">
        <v>2024</v>
      </c>
      <c r="K35" s="7">
        <v>4</v>
      </c>
      <c r="L35" s="7" t="s">
        <v>60</v>
      </c>
      <c r="M35" s="7">
        <v>1</v>
      </c>
      <c r="N35" s="7" t="s">
        <v>24</v>
      </c>
      <c r="O35" s="7" t="str">
        <f>IF(COUNTIFS(Table6[Day],Table6[[#This Row],[Day]],Table6[Time Slot],Table6[[#This Row],[Time Slot]],Table6[Faculty ID],Table6[[#This Row],[Faculty ID]])&gt;1,"Conflict","No Conflict")</f>
        <v>No Conflict</v>
      </c>
    </row>
    <row r="36" spans="1:15" x14ac:dyDescent="0.3">
      <c r="A36" s="7" t="s">
        <v>209</v>
      </c>
      <c r="B36" s="7" t="s">
        <v>72</v>
      </c>
      <c r="C36" s="7" t="s">
        <v>54</v>
      </c>
      <c r="D36" s="7" t="s">
        <v>66</v>
      </c>
      <c r="E36" s="7" t="s">
        <v>210</v>
      </c>
      <c r="F36" s="7" t="s">
        <v>211</v>
      </c>
      <c r="G36" s="7" t="s">
        <v>158</v>
      </c>
      <c r="H36" s="7" t="s">
        <v>212</v>
      </c>
      <c r="I36" s="7" t="str">
        <f>_xlfn.XLOOKUP(Table6[[#This Row],[Room ID]],Table4[Room ID],Table4[Room Type])</f>
        <v>Lecture Hall</v>
      </c>
      <c r="J36" s="7">
        <v>2021</v>
      </c>
      <c r="K36" s="7">
        <v>7</v>
      </c>
      <c r="L36" s="7" t="s">
        <v>23</v>
      </c>
      <c r="M36" s="7">
        <v>1</v>
      </c>
      <c r="N36" s="7" t="s">
        <v>24</v>
      </c>
      <c r="O36" s="7" t="str">
        <f>IF(COUNTIFS(Table6[Day],Table6[[#This Row],[Day]],Table6[Time Slot],Table6[[#This Row],[Time Slot]],Table6[Faculty ID],Table6[[#This Row],[Faculty ID]])&gt;1,"Conflict","No Conflict")</f>
        <v>No Conflict</v>
      </c>
    </row>
    <row r="37" spans="1:15" x14ac:dyDescent="0.3">
      <c r="A37" s="7" t="s">
        <v>213</v>
      </c>
      <c r="B37" s="7" t="s">
        <v>53</v>
      </c>
      <c r="C37" s="7" t="s">
        <v>141</v>
      </c>
      <c r="D37" s="7" t="s">
        <v>38</v>
      </c>
      <c r="E37" s="7" t="s">
        <v>214</v>
      </c>
      <c r="F37" s="7" t="s">
        <v>138</v>
      </c>
      <c r="G37" s="7" t="s">
        <v>215</v>
      </c>
      <c r="H37" s="7" t="s">
        <v>216</v>
      </c>
      <c r="I37" s="7" t="str">
        <f>_xlfn.XLOOKUP(Table6[[#This Row],[Room ID]],Table4[Room ID],Table4[Room Type])</f>
        <v>Lab</v>
      </c>
      <c r="J37" s="7">
        <v>2024</v>
      </c>
      <c r="K37" s="7">
        <v>6</v>
      </c>
      <c r="L37" s="7" t="s">
        <v>60</v>
      </c>
      <c r="M37" s="7">
        <v>2</v>
      </c>
      <c r="N37" s="7" t="s">
        <v>25</v>
      </c>
      <c r="O37" s="7" t="str">
        <f>IF(COUNTIFS(Table6[Day],Table6[[#This Row],[Day]],Table6[Time Slot],Table6[[#This Row],[Time Slot]],Table6[Faculty ID],Table6[[#This Row],[Faculty ID]])&gt;1,"Conflict","No Conflict")</f>
        <v>No Conflict</v>
      </c>
    </row>
    <row r="38" spans="1:15" x14ac:dyDescent="0.3">
      <c r="A38" s="7" t="s">
        <v>217</v>
      </c>
      <c r="B38" s="7" t="s">
        <v>169</v>
      </c>
      <c r="C38" s="7" t="s">
        <v>100</v>
      </c>
      <c r="D38" s="7" t="s">
        <v>164</v>
      </c>
      <c r="E38" s="7" t="s">
        <v>218</v>
      </c>
      <c r="F38" s="7" t="s">
        <v>135</v>
      </c>
      <c r="G38" s="7" t="s">
        <v>202</v>
      </c>
      <c r="H38" s="7" t="s">
        <v>205</v>
      </c>
      <c r="I38" s="7" t="str">
        <f>_xlfn.XLOOKUP(Table6[[#This Row],[Room ID]],Table4[Room ID],Table4[Room Type])</f>
        <v>Seminar Room</v>
      </c>
      <c r="J38" s="7">
        <v>2023</v>
      </c>
      <c r="K38" s="7">
        <v>4</v>
      </c>
      <c r="L38" s="7" t="s">
        <v>23</v>
      </c>
      <c r="M38" s="7">
        <v>2</v>
      </c>
      <c r="N38" s="7" t="s">
        <v>25</v>
      </c>
      <c r="O38" s="7" t="str">
        <f>IF(COUNTIFS(Table6[Day],Table6[[#This Row],[Day]],Table6[Time Slot],Table6[[#This Row],[Time Slot]],Table6[Faculty ID],Table6[[#This Row],[Faculty ID]])&gt;1,"Conflict","No Conflict")</f>
        <v>No Conflict</v>
      </c>
    </row>
    <row r="39" spans="1:15" x14ac:dyDescent="0.3">
      <c r="A39" s="7" t="s">
        <v>219</v>
      </c>
      <c r="B39" s="7" t="s">
        <v>27</v>
      </c>
      <c r="C39" s="7" t="s">
        <v>37</v>
      </c>
      <c r="D39" s="7" t="s">
        <v>28</v>
      </c>
      <c r="E39" s="7" t="s">
        <v>187</v>
      </c>
      <c r="F39" s="7" t="s">
        <v>188</v>
      </c>
      <c r="G39" s="7" t="s">
        <v>220</v>
      </c>
      <c r="H39" s="7" t="s">
        <v>221</v>
      </c>
      <c r="I39" s="7" t="str">
        <f>_xlfn.XLOOKUP(Table6[[#This Row],[Room ID]],Table4[Room ID],Table4[Room Type])</f>
        <v>Lecture Hall</v>
      </c>
      <c r="J39" s="7">
        <v>2021</v>
      </c>
      <c r="K39" s="7">
        <v>4</v>
      </c>
      <c r="L39" s="7" t="s">
        <v>34</v>
      </c>
      <c r="M39" s="7">
        <v>2</v>
      </c>
      <c r="N39" s="7" t="s">
        <v>25</v>
      </c>
      <c r="O39" s="7" t="str">
        <f>IF(COUNTIFS(Table6[Day],Table6[[#This Row],[Day]],Table6[Time Slot],Table6[[#This Row],[Time Slot]],Table6[Faculty ID],Table6[[#This Row],[Faculty ID]])&gt;1,"Conflict","No Conflict")</f>
        <v>No Conflict</v>
      </c>
    </row>
    <row r="40" spans="1:15" x14ac:dyDescent="0.3">
      <c r="A40" s="7" t="s">
        <v>222</v>
      </c>
      <c r="B40" s="7" t="s">
        <v>14</v>
      </c>
      <c r="C40" s="7" t="s">
        <v>141</v>
      </c>
      <c r="D40" s="7" t="s">
        <v>38</v>
      </c>
      <c r="E40" s="7" t="s">
        <v>223</v>
      </c>
      <c r="F40" s="7" t="s">
        <v>63</v>
      </c>
      <c r="G40" s="7" t="s">
        <v>75</v>
      </c>
      <c r="H40" s="7" t="s">
        <v>224</v>
      </c>
      <c r="I40" s="7" t="str">
        <f>_xlfn.XLOOKUP(Table6[[#This Row],[Room ID]],Table4[Room ID],Table4[Room Type])</f>
        <v>Lecture Hall</v>
      </c>
      <c r="J40" s="7">
        <v>2023</v>
      </c>
      <c r="K40" s="7">
        <v>7</v>
      </c>
      <c r="L40" s="7" t="s">
        <v>34</v>
      </c>
      <c r="M40" s="7">
        <v>2</v>
      </c>
      <c r="N40" s="7" t="s">
        <v>25</v>
      </c>
      <c r="O40" s="7" t="str">
        <f>IF(COUNTIFS(Table6[Day],Table6[[#This Row],[Day]],Table6[Time Slot],Table6[[#This Row],[Time Slot]],Table6[Faculty ID],Table6[[#This Row],[Faculty ID]])&gt;1,"Conflict","No Conflict")</f>
        <v>No Conflict</v>
      </c>
    </row>
    <row r="41" spans="1:15" x14ac:dyDescent="0.3">
      <c r="A41" s="7" t="s">
        <v>228</v>
      </c>
      <c r="B41" s="7" t="s">
        <v>169</v>
      </c>
      <c r="C41" s="7" t="s">
        <v>133</v>
      </c>
      <c r="D41" s="7" t="s">
        <v>164</v>
      </c>
      <c r="E41" s="7" t="s">
        <v>229</v>
      </c>
      <c r="F41" s="7" t="s">
        <v>230</v>
      </c>
      <c r="G41" s="7" t="s">
        <v>57</v>
      </c>
      <c r="H41" s="7" t="s">
        <v>155</v>
      </c>
      <c r="I41" s="7" t="str">
        <f>_xlfn.XLOOKUP(Table6[[#This Row],[Room ID]],Table4[Room ID],Table4[Room Type])</f>
        <v>Lab</v>
      </c>
      <c r="J41" s="7">
        <v>2024</v>
      </c>
      <c r="K41" s="7">
        <v>3</v>
      </c>
      <c r="L41" s="7" t="s">
        <v>60</v>
      </c>
      <c r="M41" s="7">
        <v>2</v>
      </c>
      <c r="N41" s="7" t="s">
        <v>25</v>
      </c>
      <c r="O41" s="7" t="str">
        <f>IF(COUNTIFS(Table6[Day],Table6[[#This Row],[Day]],Table6[Time Slot],Table6[[#This Row],[Time Slot]],Table6[Faculty ID],Table6[[#This Row],[Faculty ID]])&gt;1,"Conflict","No Conflict")</f>
        <v>No Conflict</v>
      </c>
    </row>
    <row r="42" spans="1:15" x14ac:dyDescent="0.3">
      <c r="A42" s="7" t="s">
        <v>231</v>
      </c>
      <c r="B42" s="7" t="s">
        <v>36</v>
      </c>
      <c r="C42" s="7" t="s">
        <v>15</v>
      </c>
      <c r="D42" s="7" t="s">
        <v>164</v>
      </c>
      <c r="E42" s="7" t="s">
        <v>232</v>
      </c>
      <c r="F42" s="7" t="s">
        <v>233</v>
      </c>
      <c r="G42" s="7" t="s">
        <v>234</v>
      </c>
      <c r="H42" s="7" t="s">
        <v>235</v>
      </c>
      <c r="I42" s="7" t="str">
        <f>_xlfn.XLOOKUP(Table6[[#This Row],[Room ID]],Table4[Room ID],Table4[Room Type])</f>
        <v>Seminar Room</v>
      </c>
      <c r="J42" s="7">
        <v>2022</v>
      </c>
      <c r="K42" s="7">
        <v>8</v>
      </c>
      <c r="L42" s="7" t="s">
        <v>34</v>
      </c>
      <c r="M42" s="7">
        <v>1</v>
      </c>
      <c r="N42" s="7" t="s">
        <v>24</v>
      </c>
      <c r="O42" s="7" t="str">
        <f>IF(COUNTIFS(Table6[Day],Table6[[#This Row],[Day]],Table6[Time Slot],Table6[[#This Row],[Time Slot]],Table6[Faculty ID],Table6[[#This Row],[Faculty ID]])&gt;1,"Conflict","No Conflict")</f>
        <v>No Conflict</v>
      </c>
    </row>
    <row r="43" spans="1:15" x14ac:dyDescent="0.3">
      <c r="A43" s="7" t="s">
        <v>236</v>
      </c>
      <c r="B43" s="7" t="s">
        <v>169</v>
      </c>
      <c r="C43" s="7" t="s">
        <v>15</v>
      </c>
      <c r="D43" s="7" t="s">
        <v>198</v>
      </c>
      <c r="E43" s="7" t="s">
        <v>237</v>
      </c>
      <c r="F43" s="7" t="s">
        <v>68</v>
      </c>
      <c r="G43" s="7" t="s">
        <v>136</v>
      </c>
      <c r="H43" s="7" t="s">
        <v>42</v>
      </c>
      <c r="I43" s="7" t="str">
        <f>_xlfn.XLOOKUP(Table6[[#This Row],[Room ID]],Table4[Room ID],Table4[Room Type])</f>
        <v>Smart Classroom</v>
      </c>
      <c r="J43" s="7">
        <v>2023</v>
      </c>
      <c r="K43" s="7">
        <v>5</v>
      </c>
      <c r="L43" s="7" t="s">
        <v>23</v>
      </c>
      <c r="M43" s="7">
        <v>2</v>
      </c>
      <c r="N43" s="7" t="s">
        <v>25</v>
      </c>
      <c r="O43" s="7" t="str">
        <f>IF(COUNTIFS(Table6[Day],Table6[[#This Row],[Day]],Table6[Time Slot],Table6[[#This Row],[Time Slot]],Table6[Faculty ID],Table6[[#This Row],[Faculty ID]])&gt;1,"Conflict","No Conflict")</f>
        <v>No Conflict</v>
      </c>
    </row>
    <row r="44" spans="1:15" x14ac:dyDescent="0.3">
      <c r="A44" s="7" t="s">
        <v>238</v>
      </c>
      <c r="B44" s="7" t="s">
        <v>27</v>
      </c>
      <c r="C44" s="7" t="s">
        <v>15</v>
      </c>
      <c r="D44" s="7" t="s">
        <v>28</v>
      </c>
      <c r="E44" s="7" t="s">
        <v>29</v>
      </c>
      <c r="F44" s="7" t="s">
        <v>180</v>
      </c>
      <c r="G44" s="7" t="s">
        <v>184</v>
      </c>
      <c r="H44" s="7" t="s">
        <v>94</v>
      </c>
      <c r="I44" s="7" t="str">
        <f>_xlfn.XLOOKUP(Table6[[#This Row],[Room ID]],Table4[Room ID],Table4[Room Type])</f>
        <v>Lecture Hall</v>
      </c>
      <c r="J44" s="7">
        <v>2021</v>
      </c>
      <c r="K44" s="7">
        <v>2</v>
      </c>
      <c r="L44" s="7" t="s">
        <v>60</v>
      </c>
      <c r="M44" s="7">
        <v>1</v>
      </c>
      <c r="N44" s="7" t="s">
        <v>24</v>
      </c>
      <c r="O44" s="7" t="str">
        <f>IF(COUNTIFS(Table6[Day],Table6[[#This Row],[Day]],Table6[Time Slot],Table6[[#This Row],[Time Slot]],Table6[Faculty ID],Table6[[#This Row],[Faculty ID]])&gt;1,"Conflict","No Conflict")</f>
        <v>No Conflict</v>
      </c>
    </row>
    <row r="45" spans="1:15" x14ac:dyDescent="0.3">
      <c r="A45" s="7" t="s">
        <v>239</v>
      </c>
      <c r="B45" s="7" t="s">
        <v>169</v>
      </c>
      <c r="C45" s="7" t="s">
        <v>86</v>
      </c>
      <c r="D45" s="7" t="s">
        <v>28</v>
      </c>
      <c r="E45" s="7" t="s">
        <v>240</v>
      </c>
      <c r="F45" s="7" t="s">
        <v>161</v>
      </c>
      <c r="G45" s="7" t="s">
        <v>241</v>
      </c>
      <c r="H45" s="7" t="s">
        <v>172</v>
      </c>
      <c r="I45" s="7" t="str">
        <f>_xlfn.XLOOKUP(Table6[[#This Row],[Room ID]],Table4[Room ID],Table4[Room Type])</f>
        <v>Lab</v>
      </c>
      <c r="J45" s="7">
        <v>2023</v>
      </c>
      <c r="K45" s="7">
        <v>8</v>
      </c>
      <c r="L45" s="7" t="s">
        <v>60</v>
      </c>
      <c r="M45" s="7">
        <v>1</v>
      </c>
      <c r="N45" s="7" t="s">
        <v>24</v>
      </c>
      <c r="O45" s="7" t="str">
        <f>IF(COUNTIFS(Table6[Day],Table6[[#This Row],[Day]],Table6[Time Slot],Table6[[#This Row],[Time Slot]],Table6[Faculty ID],Table6[[#This Row],[Faculty ID]])&gt;1,"Conflict","No Conflict")</f>
        <v>No Conflict</v>
      </c>
    </row>
    <row r="46" spans="1:15" x14ac:dyDescent="0.3">
      <c r="A46" s="7" t="s">
        <v>242</v>
      </c>
      <c r="B46" s="7" t="s">
        <v>36</v>
      </c>
      <c r="C46" s="7" t="s">
        <v>45</v>
      </c>
      <c r="D46" s="7" t="s">
        <v>28</v>
      </c>
      <c r="E46" s="7" t="s">
        <v>243</v>
      </c>
      <c r="F46" s="7" t="s">
        <v>194</v>
      </c>
      <c r="G46" s="7" t="s">
        <v>202</v>
      </c>
      <c r="H46" s="7" t="s">
        <v>167</v>
      </c>
      <c r="I46" s="7" t="str">
        <f>_xlfn.XLOOKUP(Table6[[#This Row],[Room ID]],Table4[Room ID],Table4[Room Type])</f>
        <v>Lab</v>
      </c>
      <c r="J46" s="7">
        <v>2022</v>
      </c>
      <c r="K46" s="7">
        <v>4</v>
      </c>
      <c r="L46" s="7" t="s">
        <v>34</v>
      </c>
      <c r="M46" s="7">
        <v>2</v>
      </c>
      <c r="N46" s="7" t="s">
        <v>25</v>
      </c>
      <c r="O46" s="7" t="str">
        <f>IF(COUNTIFS(Table6[Day],Table6[[#This Row],[Day]],Table6[Time Slot],Table6[[#This Row],[Time Slot]],Table6[Faculty ID],Table6[[#This Row],[Faculty ID]])&gt;1,"Conflict","No Conflict")</f>
        <v>No Conflict</v>
      </c>
    </row>
    <row r="47" spans="1:15" x14ac:dyDescent="0.3">
      <c r="A47" s="7" t="s">
        <v>244</v>
      </c>
      <c r="B47" s="7" t="s">
        <v>14</v>
      </c>
      <c r="C47" s="7" t="s">
        <v>133</v>
      </c>
      <c r="D47" s="7" t="s">
        <v>16</v>
      </c>
      <c r="E47" s="7" t="s">
        <v>62</v>
      </c>
      <c r="F47" s="7" t="s">
        <v>188</v>
      </c>
      <c r="G47" s="7" t="s">
        <v>176</v>
      </c>
      <c r="H47" s="7" t="s">
        <v>84</v>
      </c>
      <c r="I47" s="7" t="str">
        <f>_xlfn.XLOOKUP(Table6[[#This Row],[Room ID]],Table4[Room ID],Table4[Room Type])</f>
        <v>Seminar Room</v>
      </c>
      <c r="J47" s="7">
        <v>2023</v>
      </c>
      <c r="K47" s="7">
        <v>1</v>
      </c>
      <c r="L47" s="7" t="s">
        <v>23</v>
      </c>
      <c r="M47" s="7">
        <v>1</v>
      </c>
      <c r="N47" s="7" t="s">
        <v>24</v>
      </c>
      <c r="O47" s="7" t="str">
        <f>IF(COUNTIFS(Table6[Day],Table6[[#This Row],[Day]],Table6[Time Slot],Table6[[#This Row],[Time Slot]],Table6[Faculty ID],Table6[[#This Row],[Faculty ID]])&gt;1,"Conflict","No Conflict")</f>
        <v>No Conflict</v>
      </c>
    </row>
    <row r="48" spans="1:15" x14ac:dyDescent="0.3">
      <c r="A48" s="7" t="s">
        <v>248</v>
      </c>
      <c r="B48" s="7" t="s">
        <v>169</v>
      </c>
      <c r="C48" s="7" t="s">
        <v>45</v>
      </c>
      <c r="D48" s="7" t="s">
        <v>16</v>
      </c>
      <c r="E48" s="7" t="s">
        <v>249</v>
      </c>
      <c r="F48" s="7" t="s">
        <v>250</v>
      </c>
      <c r="G48" s="7" t="s">
        <v>251</v>
      </c>
      <c r="H48" s="7" t="s">
        <v>205</v>
      </c>
      <c r="I48" s="7" t="str">
        <f>_xlfn.XLOOKUP(Table6[[#This Row],[Room ID]],Table4[Room ID],Table4[Room Type])</f>
        <v>Seminar Room</v>
      </c>
      <c r="J48" s="7">
        <v>2022</v>
      </c>
      <c r="K48" s="7">
        <v>5</v>
      </c>
      <c r="L48" s="7" t="s">
        <v>23</v>
      </c>
      <c r="M48" s="7">
        <v>1</v>
      </c>
      <c r="N48" s="7" t="s">
        <v>24</v>
      </c>
      <c r="O48" s="7" t="str">
        <f>IF(COUNTIFS(Table6[Day],Table6[[#This Row],[Day]],Table6[Time Slot],Table6[[#This Row],[Time Slot]],Table6[Faculty ID],Table6[[#This Row],[Faculty ID]])&gt;1,"Conflict","No Conflict")</f>
        <v>No Conflict</v>
      </c>
    </row>
    <row r="49" spans="1:15" x14ac:dyDescent="0.3">
      <c r="A49" s="7" t="s">
        <v>252</v>
      </c>
      <c r="B49" s="7" t="s">
        <v>27</v>
      </c>
      <c r="C49" s="7" t="s">
        <v>54</v>
      </c>
      <c r="D49" s="7" t="s">
        <v>164</v>
      </c>
      <c r="E49" s="7" t="s">
        <v>253</v>
      </c>
      <c r="F49" s="7" t="s">
        <v>63</v>
      </c>
      <c r="G49" s="7" t="s">
        <v>116</v>
      </c>
      <c r="H49" s="7" t="s">
        <v>181</v>
      </c>
      <c r="I49" s="7" t="str">
        <f>_xlfn.XLOOKUP(Table6[[#This Row],[Room ID]],Table4[Room ID],Table4[Room Type])</f>
        <v>Lecture Hall</v>
      </c>
      <c r="J49" s="7">
        <v>2024</v>
      </c>
      <c r="K49" s="7">
        <v>5</v>
      </c>
      <c r="L49" s="7" t="s">
        <v>23</v>
      </c>
      <c r="M49" s="7">
        <v>2</v>
      </c>
      <c r="N49" s="7" t="s">
        <v>25</v>
      </c>
      <c r="O49" s="7" t="str">
        <f>IF(COUNTIFS(Table6[Day],Table6[[#This Row],[Day]],Table6[Time Slot],Table6[[#This Row],[Time Slot]],Table6[Faculty ID],Table6[[#This Row],[Faculty ID]])&gt;1,"Conflict","No Conflict")</f>
        <v>No Conflict</v>
      </c>
    </row>
    <row r="50" spans="1:15" x14ac:dyDescent="0.3">
      <c r="A50" s="7" t="s">
        <v>254</v>
      </c>
      <c r="B50" s="7" t="s">
        <v>14</v>
      </c>
      <c r="C50" s="7" t="s">
        <v>15</v>
      </c>
      <c r="D50" s="7" t="s">
        <v>28</v>
      </c>
      <c r="E50" s="7" t="s">
        <v>255</v>
      </c>
      <c r="F50" s="7" t="s">
        <v>135</v>
      </c>
      <c r="G50" s="7" t="s">
        <v>103</v>
      </c>
      <c r="H50" s="7" t="s">
        <v>189</v>
      </c>
      <c r="I50" s="7" t="str">
        <f>_xlfn.XLOOKUP(Table6[[#This Row],[Room ID]],Table4[Room ID],Table4[Room Type])</f>
        <v>Smart Classroom</v>
      </c>
      <c r="J50" s="7">
        <v>2022</v>
      </c>
      <c r="K50" s="7">
        <v>1</v>
      </c>
      <c r="L50" s="7" t="s">
        <v>34</v>
      </c>
      <c r="M50" s="7">
        <v>2</v>
      </c>
      <c r="N50" s="7" t="s">
        <v>25</v>
      </c>
      <c r="O50" s="7" t="str">
        <f>IF(COUNTIFS(Table6[Day],Table6[[#This Row],[Day]],Table6[Time Slot],Table6[[#This Row],[Time Slot]],Table6[Faculty ID],Table6[[#This Row],[Faculty ID]])&gt;1,"Conflict","No Conflict")</f>
        <v>No Conflict</v>
      </c>
    </row>
    <row r="51" spans="1:15" x14ac:dyDescent="0.3">
      <c r="A51" s="7" t="s">
        <v>258</v>
      </c>
      <c r="B51" s="7" t="s">
        <v>14</v>
      </c>
      <c r="C51" s="7" t="s">
        <v>45</v>
      </c>
      <c r="D51" s="7" t="s">
        <v>28</v>
      </c>
      <c r="E51" s="7" t="s">
        <v>126</v>
      </c>
      <c r="F51" s="7" t="s">
        <v>79</v>
      </c>
      <c r="G51" s="7" t="s">
        <v>158</v>
      </c>
      <c r="H51" s="7" t="s">
        <v>181</v>
      </c>
      <c r="I51" s="7" t="str">
        <f>_xlfn.XLOOKUP(Table6[[#This Row],[Room ID]],Table4[Room ID],Table4[Room Type])</f>
        <v>Lecture Hall</v>
      </c>
      <c r="J51" s="7">
        <v>2024</v>
      </c>
      <c r="K51" s="7">
        <v>2</v>
      </c>
      <c r="L51" s="7" t="s">
        <v>34</v>
      </c>
      <c r="M51" s="7">
        <v>1</v>
      </c>
      <c r="N51" s="7" t="s">
        <v>24</v>
      </c>
      <c r="O51" s="7" t="str">
        <f>IF(COUNTIFS(Table6[Day],Table6[[#This Row],[Day]],Table6[Time Slot],Table6[[#This Row],[Time Slot]],Table6[Faculty ID],Table6[[#This Row],[Faculty ID]])&gt;1,"Conflict","No Conflict")</f>
        <v>No Conflict</v>
      </c>
    </row>
    <row r="52" spans="1:15" x14ac:dyDescent="0.3">
      <c r="A52" s="7" t="s">
        <v>259</v>
      </c>
      <c r="B52" s="7" t="s">
        <v>169</v>
      </c>
      <c r="C52" s="7" t="s">
        <v>45</v>
      </c>
      <c r="D52" s="7" t="s">
        <v>46</v>
      </c>
      <c r="E52" s="7" t="s">
        <v>142</v>
      </c>
      <c r="F52" s="7" t="s">
        <v>30</v>
      </c>
      <c r="G52" s="7" t="s">
        <v>171</v>
      </c>
      <c r="H52" s="7" t="s">
        <v>172</v>
      </c>
      <c r="I52" s="7" t="str">
        <f>_xlfn.XLOOKUP(Table6[[#This Row],[Room ID]],Table4[Room ID],Table4[Room Type])</f>
        <v>Lab</v>
      </c>
      <c r="J52" s="7">
        <v>2023</v>
      </c>
      <c r="K52" s="7">
        <v>1</v>
      </c>
      <c r="L52" s="7" t="s">
        <v>23</v>
      </c>
      <c r="M52" s="7">
        <v>1</v>
      </c>
      <c r="N52" s="7" t="s">
        <v>24</v>
      </c>
      <c r="O52" s="7" t="str">
        <f>IF(COUNTIFS(Table6[Day],Table6[[#This Row],[Day]],Table6[Time Slot],Table6[[#This Row],[Time Slot]],Table6[Faculty ID],Table6[[#This Row],[Faculty ID]])&gt;1,"Conflict","No Conflict")</f>
        <v>No Conflict</v>
      </c>
    </row>
    <row r="53" spans="1:15" x14ac:dyDescent="0.3">
      <c r="A53" s="7" t="s">
        <v>260</v>
      </c>
      <c r="B53" s="7" t="s">
        <v>14</v>
      </c>
      <c r="C53" s="7" t="s">
        <v>192</v>
      </c>
      <c r="D53" s="7" t="s">
        <v>46</v>
      </c>
      <c r="E53" s="7" t="s">
        <v>261</v>
      </c>
      <c r="F53" s="7" t="s">
        <v>262</v>
      </c>
      <c r="G53" s="7" t="s">
        <v>31</v>
      </c>
      <c r="H53" s="7" t="s">
        <v>247</v>
      </c>
      <c r="I53" s="7" t="str">
        <f>_xlfn.XLOOKUP(Table6[[#This Row],[Room ID]],Table4[Room ID],Table4[Room Type])</f>
        <v>Smart Classroom</v>
      </c>
      <c r="J53" s="7">
        <v>2023</v>
      </c>
      <c r="K53" s="7">
        <v>3</v>
      </c>
      <c r="L53" s="7" t="s">
        <v>34</v>
      </c>
      <c r="M53" s="7">
        <v>2</v>
      </c>
      <c r="N53" s="7" t="s">
        <v>25</v>
      </c>
      <c r="O53" s="7" t="str">
        <f>IF(COUNTIFS(Table6[Day],Table6[[#This Row],[Day]],Table6[Time Slot],Table6[[#This Row],[Time Slot]],Table6[Faculty ID],Table6[[#This Row],[Faculty ID]])&gt;1,"Conflict","No Conflict")</f>
        <v>No Conflict</v>
      </c>
    </row>
    <row r="54" spans="1:15" x14ac:dyDescent="0.3">
      <c r="A54" s="7" t="s">
        <v>263</v>
      </c>
      <c r="B54" s="7" t="s">
        <v>36</v>
      </c>
      <c r="C54" s="7" t="s">
        <v>133</v>
      </c>
      <c r="D54" s="7" t="s">
        <v>198</v>
      </c>
      <c r="E54" s="7" t="s">
        <v>264</v>
      </c>
      <c r="F54" s="7" t="s">
        <v>208</v>
      </c>
      <c r="G54" s="7" t="s">
        <v>265</v>
      </c>
      <c r="H54" s="7" t="s">
        <v>185</v>
      </c>
      <c r="I54" s="7" t="str">
        <f>_xlfn.XLOOKUP(Table6[[#This Row],[Room ID]],Table4[Room ID],Table4[Room Type])</f>
        <v>Smart Classroom</v>
      </c>
      <c r="J54" s="7">
        <v>2024</v>
      </c>
      <c r="K54" s="7">
        <v>8</v>
      </c>
      <c r="L54" s="7" t="s">
        <v>60</v>
      </c>
      <c r="M54" s="7">
        <v>1</v>
      </c>
      <c r="N54" s="7" t="s">
        <v>24</v>
      </c>
      <c r="O54" s="7" t="str">
        <f>IF(COUNTIFS(Table6[Day],Table6[[#This Row],[Day]],Table6[Time Slot],Table6[[#This Row],[Time Slot]],Table6[Faculty ID],Table6[[#This Row],[Faculty ID]])&gt;1,"Conflict","No Conflict")</f>
        <v>No Conflict</v>
      </c>
    </row>
    <row r="55" spans="1:15" x14ac:dyDescent="0.3">
      <c r="A55" s="7" t="s">
        <v>266</v>
      </c>
      <c r="B55" s="7" t="s">
        <v>36</v>
      </c>
      <c r="C55" s="7" t="s">
        <v>133</v>
      </c>
      <c r="D55" s="7" t="s">
        <v>198</v>
      </c>
      <c r="E55" s="7" t="s">
        <v>267</v>
      </c>
      <c r="F55" s="7" t="s">
        <v>56</v>
      </c>
      <c r="G55" s="7" t="s">
        <v>150</v>
      </c>
      <c r="H55" s="7" t="s">
        <v>76</v>
      </c>
      <c r="I55" s="7" t="str">
        <f>_xlfn.XLOOKUP(Table6[[#This Row],[Room ID]],Table4[Room ID],Table4[Room Type])</f>
        <v>Seminar Room</v>
      </c>
      <c r="J55" s="7">
        <v>2024</v>
      </c>
      <c r="K55" s="7">
        <v>7</v>
      </c>
      <c r="L55" s="7" t="s">
        <v>23</v>
      </c>
      <c r="M55" s="7">
        <v>1</v>
      </c>
      <c r="N55" s="7" t="s">
        <v>24</v>
      </c>
      <c r="O55" s="7" t="str">
        <f>IF(COUNTIFS(Table6[Day],Table6[[#This Row],[Day]],Table6[Time Slot],Table6[[#This Row],[Time Slot]],Table6[Faculty ID],Table6[[#This Row],[Faculty ID]])&gt;1,"Conflict","No Conflict")</f>
        <v>No Conflict</v>
      </c>
    </row>
    <row r="56" spans="1:15" x14ac:dyDescent="0.3">
      <c r="A56" s="7" t="s">
        <v>268</v>
      </c>
      <c r="B56" s="7" t="s">
        <v>14</v>
      </c>
      <c r="C56" s="7" t="s">
        <v>141</v>
      </c>
      <c r="D56" s="7" t="s">
        <v>198</v>
      </c>
      <c r="E56" s="7" t="s">
        <v>269</v>
      </c>
      <c r="F56" s="7" t="s">
        <v>120</v>
      </c>
      <c r="G56" s="7" t="s">
        <v>220</v>
      </c>
      <c r="H56" s="7" t="s">
        <v>270</v>
      </c>
      <c r="I56" s="7" t="str">
        <f>_xlfn.XLOOKUP(Table6[[#This Row],[Room ID]],Table4[Room ID],Table4[Room Type])</f>
        <v>Smart Classroom</v>
      </c>
      <c r="J56" s="7">
        <v>2024</v>
      </c>
      <c r="K56" s="7">
        <v>8</v>
      </c>
      <c r="L56" s="7" t="s">
        <v>23</v>
      </c>
      <c r="M56" s="7">
        <v>2</v>
      </c>
      <c r="N56" s="7" t="s">
        <v>25</v>
      </c>
      <c r="O56" s="7" t="str">
        <f>IF(COUNTIFS(Table6[Day],Table6[[#This Row],[Day]],Table6[Time Slot],Table6[[#This Row],[Time Slot]],Table6[Faculty ID],Table6[[#This Row],[Faculty ID]])&gt;1,"Conflict","No Conflict")</f>
        <v>No Conflict</v>
      </c>
    </row>
    <row r="57" spans="1:15" x14ac:dyDescent="0.3">
      <c r="A57" s="7" t="s">
        <v>271</v>
      </c>
      <c r="B57" s="7" t="s">
        <v>27</v>
      </c>
      <c r="C57" s="7" t="s">
        <v>54</v>
      </c>
      <c r="D57" s="7" t="s">
        <v>38</v>
      </c>
      <c r="E57" s="7" t="s">
        <v>272</v>
      </c>
      <c r="F57" s="7" t="s">
        <v>161</v>
      </c>
      <c r="G57" s="7" t="s">
        <v>273</v>
      </c>
      <c r="H57" s="7" t="s">
        <v>274</v>
      </c>
      <c r="I57" s="7" t="str">
        <f>_xlfn.XLOOKUP(Table6[[#This Row],[Room ID]],Table4[Room ID],Table4[Room Type])</f>
        <v>Smart Classroom</v>
      </c>
      <c r="J57" s="7">
        <v>2024</v>
      </c>
      <c r="K57" s="7">
        <v>2</v>
      </c>
      <c r="L57" s="7" t="s">
        <v>95</v>
      </c>
      <c r="M57" s="7">
        <v>2</v>
      </c>
      <c r="N57" s="7" t="s">
        <v>25</v>
      </c>
      <c r="O57" s="7" t="str">
        <f>IF(COUNTIFS(Table6[Day],Table6[[#This Row],[Day]],Table6[Time Slot],Table6[[#This Row],[Time Slot]],Table6[Faculty ID],Table6[[#This Row],[Faculty ID]])&gt;1,"Conflict","No Conflict")</f>
        <v>No Conflict</v>
      </c>
    </row>
    <row r="58" spans="1:15" x14ac:dyDescent="0.3">
      <c r="A58" s="7" t="s">
        <v>275</v>
      </c>
      <c r="B58" s="7" t="s">
        <v>169</v>
      </c>
      <c r="C58" s="7" t="s">
        <v>15</v>
      </c>
      <c r="D58" s="7" t="s">
        <v>46</v>
      </c>
      <c r="E58" s="7" t="s">
        <v>276</v>
      </c>
      <c r="F58" s="7" t="s">
        <v>180</v>
      </c>
      <c r="G58" s="7" t="s">
        <v>103</v>
      </c>
      <c r="H58" s="7" t="s">
        <v>155</v>
      </c>
      <c r="I58" s="7" t="str">
        <f>_xlfn.XLOOKUP(Table6[[#This Row],[Room ID]],Table4[Room ID],Table4[Room Type])</f>
        <v>Lab</v>
      </c>
      <c r="J58" s="7">
        <v>2022</v>
      </c>
      <c r="K58" s="7">
        <v>3</v>
      </c>
      <c r="L58" s="7" t="s">
        <v>23</v>
      </c>
      <c r="M58" s="7">
        <v>1</v>
      </c>
      <c r="N58" s="7" t="s">
        <v>24</v>
      </c>
      <c r="O58" s="7" t="str">
        <f>IF(COUNTIFS(Table6[Day],Table6[[#This Row],[Day]],Table6[Time Slot],Table6[[#This Row],[Time Slot]],Table6[Faculty ID],Table6[[#This Row],[Faculty ID]])&gt;1,"Conflict","No Conflict")</f>
        <v>No Conflict</v>
      </c>
    </row>
    <row r="59" spans="1:15" x14ac:dyDescent="0.3">
      <c r="A59" s="7" t="s">
        <v>279</v>
      </c>
      <c r="B59" s="7" t="s">
        <v>14</v>
      </c>
      <c r="C59" s="7" t="s">
        <v>15</v>
      </c>
      <c r="D59" s="7" t="s">
        <v>164</v>
      </c>
      <c r="E59" s="7" t="s">
        <v>280</v>
      </c>
      <c r="F59" s="7" t="s">
        <v>138</v>
      </c>
      <c r="G59" s="7" t="s">
        <v>49</v>
      </c>
      <c r="H59" s="7" t="s">
        <v>104</v>
      </c>
      <c r="I59" s="7" t="str">
        <f>_xlfn.XLOOKUP(Table6[[#This Row],[Room ID]],Table4[Room ID],Table4[Room Type])</f>
        <v>Lecture Hall</v>
      </c>
      <c r="J59" s="7">
        <v>2021</v>
      </c>
      <c r="K59" s="7">
        <v>6</v>
      </c>
      <c r="L59" s="7" t="s">
        <v>34</v>
      </c>
      <c r="M59" s="7">
        <v>1</v>
      </c>
      <c r="N59" s="7" t="s">
        <v>24</v>
      </c>
      <c r="O59" s="7" t="str">
        <f>IF(COUNTIFS(Table6[Day],Table6[[#This Row],[Day]],Table6[Time Slot],Table6[[#This Row],[Time Slot]],Table6[Faculty ID],Table6[[#This Row],[Faculty ID]])&gt;1,"Conflict","No Conflict")</f>
        <v>No Conflict</v>
      </c>
    </row>
    <row r="60" spans="1:15" x14ac:dyDescent="0.3">
      <c r="A60" s="7" t="s">
        <v>284</v>
      </c>
      <c r="B60" s="7" t="s">
        <v>169</v>
      </c>
      <c r="C60" s="7" t="s">
        <v>141</v>
      </c>
      <c r="D60" s="7" t="s">
        <v>164</v>
      </c>
      <c r="E60" s="7" t="s">
        <v>285</v>
      </c>
      <c r="F60" s="7" t="s">
        <v>79</v>
      </c>
      <c r="G60" s="7" t="s">
        <v>286</v>
      </c>
      <c r="H60" s="7" t="s">
        <v>76</v>
      </c>
      <c r="I60" s="7" t="str">
        <f>_xlfn.XLOOKUP(Table6[[#This Row],[Room ID]],Table4[Room ID],Table4[Room Type])</f>
        <v>Seminar Room</v>
      </c>
      <c r="J60" s="7">
        <v>2021</v>
      </c>
      <c r="K60" s="7">
        <v>6</v>
      </c>
      <c r="L60" s="7" t="s">
        <v>34</v>
      </c>
      <c r="M60" s="7">
        <v>2</v>
      </c>
      <c r="N60" s="7" t="s">
        <v>25</v>
      </c>
      <c r="O60" s="7" t="str">
        <f>IF(COUNTIFS(Table6[Day],Table6[[#This Row],[Day]],Table6[Time Slot],Table6[[#This Row],[Time Slot]],Table6[Faculty ID],Table6[[#This Row],[Faculty ID]])&gt;1,"Conflict","No Conflict")</f>
        <v>No Conflict</v>
      </c>
    </row>
    <row r="61" spans="1:15" x14ac:dyDescent="0.3">
      <c r="A61" s="7" t="s">
        <v>289</v>
      </c>
      <c r="B61" s="7" t="s">
        <v>36</v>
      </c>
      <c r="C61" s="7" t="s">
        <v>100</v>
      </c>
      <c r="D61" s="7" t="s">
        <v>46</v>
      </c>
      <c r="E61" s="7" t="s">
        <v>290</v>
      </c>
      <c r="F61" s="7" t="s">
        <v>18</v>
      </c>
      <c r="G61" s="7" t="s">
        <v>241</v>
      </c>
      <c r="H61" s="7" t="s">
        <v>58</v>
      </c>
      <c r="I61" s="7" t="str">
        <f>_xlfn.XLOOKUP(Table6[[#This Row],[Room ID]],Table4[Room ID],Table4[Room Type])</f>
        <v>Lecture Hall</v>
      </c>
      <c r="J61" s="7">
        <v>2024</v>
      </c>
      <c r="K61" s="7">
        <v>3</v>
      </c>
      <c r="L61" s="7" t="s">
        <v>95</v>
      </c>
      <c r="M61" s="7">
        <v>2</v>
      </c>
      <c r="N61" s="7" t="s">
        <v>25</v>
      </c>
      <c r="O61" s="7" t="str">
        <f>IF(COUNTIFS(Table6[Day],Table6[[#This Row],[Day]],Table6[Time Slot],Table6[[#This Row],[Time Slot]],Table6[Faculty ID],Table6[[#This Row],[Faculty ID]])&gt;1,"Conflict","No Conflict")</f>
        <v>No Conflict</v>
      </c>
    </row>
    <row r="62" spans="1:15" x14ac:dyDescent="0.3">
      <c r="A62" s="7" t="s">
        <v>291</v>
      </c>
      <c r="B62" s="7" t="s">
        <v>27</v>
      </c>
      <c r="C62" s="7" t="s">
        <v>54</v>
      </c>
      <c r="D62" s="7" t="s">
        <v>38</v>
      </c>
      <c r="E62" s="7" t="s">
        <v>292</v>
      </c>
      <c r="F62" s="7" t="s">
        <v>130</v>
      </c>
      <c r="G62" s="7" t="s">
        <v>293</v>
      </c>
      <c r="H62" s="7" t="s">
        <v>294</v>
      </c>
      <c r="I62" s="7" t="str">
        <f>_xlfn.XLOOKUP(Table6[[#This Row],[Room ID]],Table4[Room ID],Table4[Room Type])</f>
        <v>Smart Classroom</v>
      </c>
      <c r="J62" s="7">
        <v>2024</v>
      </c>
      <c r="K62" s="7">
        <v>3</v>
      </c>
      <c r="L62" s="7" t="s">
        <v>95</v>
      </c>
      <c r="M62" s="7">
        <v>2</v>
      </c>
      <c r="N62" s="7" t="s">
        <v>25</v>
      </c>
      <c r="O62" s="7" t="str">
        <f>IF(COUNTIFS(Table6[Day],Table6[[#This Row],[Day]],Table6[Time Slot],Table6[[#This Row],[Time Slot]],Table6[Faculty ID],Table6[[#This Row],[Faculty ID]])&gt;1,"Conflict","No Conflict")</f>
        <v>No Conflict</v>
      </c>
    </row>
    <row r="63" spans="1:15" x14ac:dyDescent="0.3">
      <c r="A63" s="7" t="s">
        <v>295</v>
      </c>
      <c r="B63" s="7" t="s">
        <v>169</v>
      </c>
      <c r="C63" s="7" t="s">
        <v>141</v>
      </c>
      <c r="D63" s="7" t="s">
        <v>198</v>
      </c>
      <c r="E63" s="7" t="s">
        <v>264</v>
      </c>
      <c r="F63" s="7" t="s">
        <v>135</v>
      </c>
      <c r="G63" s="7" t="s">
        <v>202</v>
      </c>
      <c r="H63" s="7" t="s">
        <v>185</v>
      </c>
      <c r="I63" s="7" t="str">
        <f>_xlfn.XLOOKUP(Table6[[#This Row],[Room ID]],Table4[Room ID],Table4[Room Type])</f>
        <v>Smart Classroom</v>
      </c>
      <c r="J63" s="7">
        <v>2021</v>
      </c>
      <c r="K63" s="7">
        <v>8</v>
      </c>
      <c r="L63" s="7" t="s">
        <v>60</v>
      </c>
      <c r="M63" s="7">
        <v>2</v>
      </c>
      <c r="N63" s="7" t="s">
        <v>25</v>
      </c>
      <c r="O63" s="7" t="str">
        <f>IF(COUNTIFS(Table6[Day],Table6[[#This Row],[Day]],Table6[Time Slot],Table6[[#This Row],[Time Slot]],Table6[Faculty ID],Table6[[#This Row],[Faculty ID]])&gt;1,"Conflict","No Conflict")</f>
        <v>No Conflict</v>
      </c>
    </row>
    <row r="64" spans="1:15" x14ac:dyDescent="0.3">
      <c r="A64" s="7" t="s">
        <v>296</v>
      </c>
      <c r="B64" s="7" t="s">
        <v>14</v>
      </c>
      <c r="C64" s="7" t="s">
        <v>54</v>
      </c>
      <c r="D64" s="7" t="s">
        <v>46</v>
      </c>
      <c r="E64" s="7" t="s">
        <v>297</v>
      </c>
      <c r="F64" s="7" t="s">
        <v>138</v>
      </c>
      <c r="G64" s="7" t="s">
        <v>184</v>
      </c>
      <c r="H64" s="7" t="s">
        <v>20</v>
      </c>
      <c r="I64" s="7" t="str">
        <f>_xlfn.XLOOKUP(Table6[[#This Row],[Room ID]],Table4[Room ID],Table4[Room Type])</f>
        <v>Smart Classroom</v>
      </c>
      <c r="J64" s="7">
        <v>2024</v>
      </c>
      <c r="K64" s="7">
        <v>6</v>
      </c>
      <c r="L64" s="7" t="s">
        <v>60</v>
      </c>
      <c r="M64" s="7">
        <v>1</v>
      </c>
      <c r="N64" s="7" t="s">
        <v>24</v>
      </c>
      <c r="O64" s="7" t="str">
        <f>IF(COUNTIFS(Table6[Day],Table6[[#This Row],[Day]],Table6[Time Slot],Table6[[#This Row],[Time Slot]],Table6[Faculty ID],Table6[[#This Row],[Faculty ID]])&gt;1,"Conflict","No Conflict")</f>
        <v>No Conflict</v>
      </c>
    </row>
    <row r="65" spans="1:15" x14ac:dyDescent="0.3">
      <c r="A65" s="7" t="s">
        <v>298</v>
      </c>
      <c r="B65" s="7" t="s">
        <v>27</v>
      </c>
      <c r="C65" s="7" t="s">
        <v>100</v>
      </c>
      <c r="D65" s="7" t="s">
        <v>164</v>
      </c>
      <c r="E65" s="7" t="s">
        <v>299</v>
      </c>
      <c r="F65" s="7" t="s">
        <v>300</v>
      </c>
      <c r="G65" s="7" t="s">
        <v>301</v>
      </c>
      <c r="H65" s="7" t="s">
        <v>94</v>
      </c>
      <c r="I65" s="7" t="str">
        <f>_xlfn.XLOOKUP(Table6[[#This Row],[Room ID]],Table4[Room ID],Table4[Room Type])</f>
        <v>Lecture Hall</v>
      </c>
      <c r="J65" s="7">
        <v>2023</v>
      </c>
      <c r="K65" s="7">
        <v>4</v>
      </c>
      <c r="L65" s="7" t="s">
        <v>60</v>
      </c>
      <c r="M65" s="7">
        <v>2</v>
      </c>
      <c r="N65" s="7" t="s">
        <v>25</v>
      </c>
      <c r="O65" s="7" t="str">
        <f>IF(COUNTIFS(Table6[Day],Table6[[#This Row],[Day]],Table6[Time Slot],Table6[[#This Row],[Time Slot]],Table6[Faculty ID],Table6[[#This Row],[Faculty ID]])&gt;1,"Conflict","No Conflict")</f>
        <v>No Conflict</v>
      </c>
    </row>
    <row r="66" spans="1:15" x14ac:dyDescent="0.3">
      <c r="A66" s="7" t="s">
        <v>302</v>
      </c>
      <c r="B66" s="7" t="s">
        <v>72</v>
      </c>
      <c r="C66" s="7" t="s">
        <v>100</v>
      </c>
      <c r="D66" s="7" t="s">
        <v>46</v>
      </c>
      <c r="E66" s="7" t="s">
        <v>290</v>
      </c>
      <c r="F66" s="7" t="s">
        <v>303</v>
      </c>
      <c r="G66" s="7" t="s">
        <v>116</v>
      </c>
      <c r="H66" s="7" t="s">
        <v>227</v>
      </c>
      <c r="I66" s="7" t="str">
        <f>_xlfn.XLOOKUP(Table6[[#This Row],[Room ID]],Table4[Room ID],Table4[Room Type])</f>
        <v>Lecture Hall</v>
      </c>
      <c r="J66" s="7">
        <v>2023</v>
      </c>
      <c r="K66" s="7">
        <v>3</v>
      </c>
      <c r="L66" s="7" t="s">
        <v>23</v>
      </c>
      <c r="M66" s="7">
        <v>2</v>
      </c>
      <c r="N66" s="7" t="s">
        <v>25</v>
      </c>
      <c r="O66" s="7" t="str">
        <f>IF(COUNTIFS(Table6[Day],Table6[[#This Row],[Day]],Table6[Time Slot],Table6[[#This Row],[Time Slot]],Table6[Faculty ID],Table6[[#This Row],[Faculty ID]])&gt;1,"Conflict","No Conflict")</f>
        <v>No Conflict</v>
      </c>
    </row>
    <row r="67" spans="1:15" x14ac:dyDescent="0.3">
      <c r="A67" s="7" t="s">
        <v>304</v>
      </c>
      <c r="B67" s="7" t="s">
        <v>14</v>
      </c>
      <c r="C67" s="7" t="s">
        <v>86</v>
      </c>
      <c r="D67" s="7" t="s">
        <v>164</v>
      </c>
      <c r="E67" s="7" t="s">
        <v>165</v>
      </c>
      <c r="F67" s="7" t="s">
        <v>130</v>
      </c>
      <c r="G67" s="7" t="s">
        <v>305</v>
      </c>
      <c r="H67" s="7" t="s">
        <v>144</v>
      </c>
      <c r="I67" s="7" t="str">
        <f>_xlfn.XLOOKUP(Table6[[#This Row],[Room ID]],Table4[Room ID],Table4[Room Type])</f>
        <v>Seminar Room</v>
      </c>
      <c r="J67" s="7">
        <v>2023</v>
      </c>
      <c r="K67" s="7">
        <v>3</v>
      </c>
      <c r="L67" s="7" t="s">
        <v>60</v>
      </c>
      <c r="M67" s="7">
        <v>2</v>
      </c>
      <c r="N67" s="7" t="s">
        <v>25</v>
      </c>
      <c r="O67" s="7" t="str">
        <f>IF(COUNTIFS(Table6[Day],Table6[[#This Row],[Day]],Table6[Time Slot],Table6[[#This Row],[Time Slot]],Table6[Faculty ID],Table6[[#This Row],[Faculty ID]])&gt;1,"Conflict","No Conflict")</f>
        <v>No Conflict</v>
      </c>
    </row>
    <row r="68" spans="1:15" x14ac:dyDescent="0.3">
      <c r="A68" s="7" t="s">
        <v>306</v>
      </c>
      <c r="B68" s="7" t="s">
        <v>53</v>
      </c>
      <c r="C68" s="7" t="s">
        <v>37</v>
      </c>
      <c r="D68" s="7" t="s">
        <v>114</v>
      </c>
      <c r="E68" s="7" t="s">
        <v>307</v>
      </c>
      <c r="F68" s="7" t="s">
        <v>194</v>
      </c>
      <c r="G68" s="7" t="s">
        <v>273</v>
      </c>
      <c r="H68" s="7" t="s">
        <v>76</v>
      </c>
      <c r="I68" s="7" t="str">
        <f>_xlfn.XLOOKUP(Table6[[#This Row],[Room ID]],Table4[Room ID],Table4[Room Type])</f>
        <v>Seminar Room</v>
      </c>
      <c r="J68" s="7">
        <v>2021</v>
      </c>
      <c r="K68" s="7">
        <v>7</v>
      </c>
      <c r="L68" s="7" t="s">
        <v>23</v>
      </c>
      <c r="M68" s="7">
        <v>1</v>
      </c>
      <c r="N68" s="7" t="s">
        <v>24</v>
      </c>
      <c r="O68" s="7" t="str">
        <f>IF(COUNTIFS(Table6[Day],Table6[[#This Row],[Day]],Table6[Time Slot],Table6[[#This Row],[Time Slot]],Table6[Faculty ID],Table6[[#This Row],[Faculty ID]])&gt;1,"Conflict","No Conflict")</f>
        <v>No Conflict</v>
      </c>
    </row>
    <row r="69" spans="1:15" x14ac:dyDescent="0.3">
      <c r="A69" s="7" t="s">
        <v>308</v>
      </c>
      <c r="B69" s="7" t="s">
        <v>27</v>
      </c>
      <c r="C69" s="7" t="s">
        <v>54</v>
      </c>
      <c r="D69" s="7" t="s">
        <v>198</v>
      </c>
      <c r="E69" s="7" t="s">
        <v>309</v>
      </c>
      <c r="F69" s="7" t="s">
        <v>88</v>
      </c>
      <c r="G69" s="7" t="s">
        <v>251</v>
      </c>
      <c r="H69" s="7" t="s">
        <v>58</v>
      </c>
      <c r="I69" s="7" t="str">
        <f>_xlfn.XLOOKUP(Table6[[#This Row],[Room ID]],Table4[Room ID],Table4[Room Type])</f>
        <v>Lecture Hall</v>
      </c>
      <c r="J69" s="7">
        <v>2022</v>
      </c>
      <c r="K69" s="7">
        <v>8</v>
      </c>
      <c r="L69" s="7" t="s">
        <v>23</v>
      </c>
      <c r="M69" s="7">
        <v>1</v>
      </c>
      <c r="N69" s="7" t="s">
        <v>24</v>
      </c>
      <c r="O69" s="7" t="str">
        <f>IF(COUNTIFS(Table6[Day],Table6[[#This Row],[Day]],Table6[Time Slot],Table6[[#This Row],[Time Slot]],Table6[Faculty ID],Table6[[#This Row],[Faculty ID]])&gt;1,"Conflict","No Conflict")</f>
        <v>No Conflict</v>
      </c>
    </row>
    <row r="70" spans="1:15" x14ac:dyDescent="0.3">
      <c r="A70" s="7" t="s">
        <v>310</v>
      </c>
      <c r="B70" s="7" t="s">
        <v>72</v>
      </c>
      <c r="C70" s="7" t="s">
        <v>54</v>
      </c>
      <c r="D70" s="7" t="s">
        <v>16</v>
      </c>
      <c r="E70" s="7" t="s">
        <v>311</v>
      </c>
      <c r="F70" s="7" t="s">
        <v>138</v>
      </c>
      <c r="G70" s="7" t="s">
        <v>220</v>
      </c>
      <c r="H70" s="7" t="s">
        <v>227</v>
      </c>
      <c r="I70" s="7" t="str">
        <f>_xlfn.XLOOKUP(Table6[[#This Row],[Room ID]],Table4[Room ID],Table4[Room Type])</f>
        <v>Lecture Hall</v>
      </c>
      <c r="J70" s="7">
        <v>2023</v>
      </c>
      <c r="K70" s="7">
        <v>8</v>
      </c>
      <c r="L70" s="7" t="s">
        <v>23</v>
      </c>
      <c r="M70" s="7">
        <v>1</v>
      </c>
      <c r="N70" s="7" t="s">
        <v>24</v>
      </c>
      <c r="O70" s="7" t="str">
        <f>IF(COUNTIFS(Table6[Day],Table6[[#This Row],[Day]],Table6[Time Slot],Table6[[#This Row],[Time Slot]],Table6[Faculty ID],Table6[[#This Row],[Faculty ID]])&gt;1,"Conflict","No Conflict")</f>
        <v>No Conflict</v>
      </c>
    </row>
    <row r="71" spans="1:15" x14ac:dyDescent="0.3">
      <c r="A71" s="7" t="s">
        <v>312</v>
      </c>
      <c r="B71" s="7" t="s">
        <v>36</v>
      </c>
      <c r="C71" s="7" t="s">
        <v>86</v>
      </c>
      <c r="D71" s="7" t="s">
        <v>38</v>
      </c>
      <c r="E71" s="7" t="s">
        <v>313</v>
      </c>
      <c r="F71" s="7" t="s">
        <v>211</v>
      </c>
      <c r="G71" s="7" t="s">
        <v>75</v>
      </c>
      <c r="H71" s="7" t="s">
        <v>155</v>
      </c>
      <c r="I71" s="7" t="str">
        <f>_xlfn.XLOOKUP(Table6[[#This Row],[Room ID]],Table4[Room ID],Table4[Room Type])</f>
        <v>Lab</v>
      </c>
      <c r="J71" s="7">
        <v>2021</v>
      </c>
      <c r="K71" s="7">
        <v>8</v>
      </c>
      <c r="L71" s="7" t="s">
        <v>34</v>
      </c>
      <c r="M71" s="7">
        <v>1</v>
      </c>
      <c r="N71" s="7" t="s">
        <v>24</v>
      </c>
      <c r="O71" s="7" t="str">
        <f>IF(COUNTIFS(Table6[Day],Table6[[#This Row],[Day]],Table6[Time Slot],Table6[[#This Row],[Time Slot]],Table6[Faculty ID],Table6[[#This Row],[Faculty ID]])&gt;1,"Conflict","No Conflict")</f>
        <v>No Conflict</v>
      </c>
    </row>
    <row r="72" spans="1:15" x14ac:dyDescent="0.3">
      <c r="A72" s="7" t="s">
        <v>314</v>
      </c>
      <c r="B72" s="7" t="s">
        <v>169</v>
      </c>
      <c r="C72" s="7" t="s">
        <v>15</v>
      </c>
      <c r="D72" s="7" t="s">
        <v>114</v>
      </c>
      <c r="E72" s="7" t="s">
        <v>315</v>
      </c>
      <c r="F72" s="7" t="s">
        <v>316</v>
      </c>
      <c r="G72" s="7" t="s">
        <v>305</v>
      </c>
      <c r="H72" s="7" t="s">
        <v>20</v>
      </c>
      <c r="I72" s="7" t="str">
        <f>_xlfn.XLOOKUP(Table6[[#This Row],[Room ID]],Table4[Room ID],Table4[Room Type])</f>
        <v>Smart Classroom</v>
      </c>
      <c r="J72" s="7">
        <v>2023</v>
      </c>
      <c r="K72" s="7">
        <v>1</v>
      </c>
      <c r="L72" s="7" t="s">
        <v>34</v>
      </c>
      <c r="M72" s="7">
        <v>1</v>
      </c>
      <c r="N72" s="7" t="s">
        <v>24</v>
      </c>
      <c r="O72" s="7" t="str">
        <f>IF(COUNTIFS(Table6[Day],Table6[[#This Row],[Day]],Table6[Time Slot],Table6[[#This Row],[Time Slot]],Table6[Faculty ID],Table6[[#This Row],[Faculty ID]])&gt;1,"Conflict","No Conflict")</f>
        <v>No Conflict</v>
      </c>
    </row>
    <row r="73" spans="1:15" x14ac:dyDescent="0.3">
      <c r="A73" s="7" t="s">
        <v>319</v>
      </c>
      <c r="B73" s="7" t="s">
        <v>27</v>
      </c>
      <c r="C73" s="7" t="s">
        <v>15</v>
      </c>
      <c r="D73" s="7" t="s">
        <v>28</v>
      </c>
      <c r="E73" s="7" t="s">
        <v>320</v>
      </c>
      <c r="F73" s="7" t="s">
        <v>250</v>
      </c>
      <c r="G73" s="7" t="s">
        <v>273</v>
      </c>
      <c r="H73" s="7" t="s">
        <v>42</v>
      </c>
      <c r="I73" s="7" t="str">
        <f>_xlfn.XLOOKUP(Table6[[#This Row],[Room ID]],Table4[Room ID],Table4[Room Type])</f>
        <v>Smart Classroom</v>
      </c>
      <c r="J73" s="7">
        <v>2022</v>
      </c>
      <c r="K73" s="7">
        <v>1</v>
      </c>
      <c r="L73" s="7" t="s">
        <v>60</v>
      </c>
      <c r="M73" s="7">
        <v>2</v>
      </c>
      <c r="N73" s="7" t="s">
        <v>25</v>
      </c>
      <c r="O73" s="7" t="str">
        <f>IF(COUNTIFS(Table6[Day],Table6[[#This Row],[Day]],Table6[Time Slot],Table6[[#This Row],[Time Slot]],Table6[Faculty ID],Table6[[#This Row],[Faculty ID]])&gt;1,"Conflict","No Conflict")</f>
        <v>No Conflict</v>
      </c>
    </row>
    <row r="74" spans="1:15" x14ac:dyDescent="0.3">
      <c r="A74" s="7" t="s">
        <v>321</v>
      </c>
      <c r="B74" s="7" t="s">
        <v>72</v>
      </c>
      <c r="C74" s="7" t="s">
        <v>100</v>
      </c>
      <c r="D74" s="7" t="s">
        <v>46</v>
      </c>
      <c r="E74" s="7" t="s">
        <v>322</v>
      </c>
      <c r="F74" s="7" t="s">
        <v>130</v>
      </c>
      <c r="G74" s="7" t="s">
        <v>89</v>
      </c>
      <c r="H74" s="7" t="s">
        <v>323</v>
      </c>
      <c r="I74" s="7" t="str">
        <f>_xlfn.XLOOKUP(Table6[[#This Row],[Room ID]],Table4[Room ID],Table4[Room Type])</f>
        <v>Seminar Room</v>
      </c>
      <c r="J74" s="7">
        <v>2022</v>
      </c>
      <c r="K74" s="7">
        <v>6</v>
      </c>
      <c r="L74" s="7" t="s">
        <v>23</v>
      </c>
      <c r="M74" s="7">
        <v>2</v>
      </c>
      <c r="N74" s="7" t="s">
        <v>25</v>
      </c>
      <c r="O74" s="7" t="str">
        <f>IF(COUNTIFS(Table6[Day],Table6[[#This Row],[Day]],Table6[Time Slot],Table6[[#This Row],[Time Slot]],Table6[Faculty ID],Table6[[#This Row],[Faculty ID]])&gt;1,"Conflict","No Conflict")</f>
        <v>No Conflict</v>
      </c>
    </row>
    <row r="75" spans="1:15" x14ac:dyDescent="0.3">
      <c r="A75" s="7" t="s">
        <v>324</v>
      </c>
      <c r="B75" s="7" t="s">
        <v>27</v>
      </c>
      <c r="C75" s="7" t="s">
        <v>45</v>
      </c>
      <c r="D75" s="7" t="s">
        <v>66</v>
      </c>
      <c r="E75" s="7" t="s">
        <v>210</v>
      </c>
      <c r="F75" s="7" t="s">
        <v>303</v>
      </c>
      <c r="G75" s="7" t="s">
        <v>80</v>
      </c>
      <c r="H75" s="7" t="s">
        <v>221</v>
      </c>
      <c r="I75" s="7" t="str">
        <f>_xlfn.XLOOKUP(Table6[[#This Row],[Room ID]],Table4[Room ID],Table4[Room Type])</f>
        <v>Lecture Hall</v>
      </c>
      <c r="J75" s="7">
        <v>2023</v>
      </c>
      <c r="K75" s="7">
        <v>2</v>
      </c>
      <c r="L75" s="7" t="s">
        <v>34</v>
      </c>
      <c r="M75" s="7">
        <v>1</v>
      </c>
      <c r="N75" s="7" t="s">
        <v>24</v>
      </c>
      <c r="O75" s="7" t="str">
        <f>IF(COUNTIFS(Table6[Day],Table6[[#This Row],[Day]],Table6[Time Slot],Table6[[#This Row],[Time Slot]],Table6[Faculty ID],Table6[[#This Row],[Faculty ID]])&gt;1,"Conflict","No Conflict")</f>
        <v>No Conflict</v>
      </c>
    </row>
    <row r="76" spans="1:15" x14ac:dyDescent="0.3">
      <c r="A76" s="7" t="s">
        <v>327</v>
      </c>
      <c r="B76" s="7" t="s">
        <v>53</v>
      </c>
      <c r="C76" s="7" t="s">
        <v>37</v>
      </c>
      <c r="D76" s="7" t="s">
        <v>114</v>
      </c>
      <c r="E76" s="7" t="s">
        <v>328</v>
      </c>
      <c r="F76" s="7" t="s">
        <v>63</v>
      </c>
      <c r="G76" s="7" t="s">
        <v>286</v>
      </c>
      <c r="H76" s="7" t="s">
        <v>278</v>
      </c>
      <c r="I76" s="7" t="str">
        <f>_xlfn.XLOOKUP(Table6[[#This Row],[Room ID]],Table4[Room ID],Table4[Room Type])</f>
        <v>Lecture Hall</v>
      </c>
      <c r="J76" s="7">
        <v>2023</v>
      </c>
      <c r="K76" s="7">
        <v>7</v>
      </c>
      <c r="L76" s="7" t="s">
        <v>60</v>
      </c>
      <c r="M76" s="7">
        <v>2</v>
      </c>
      <c r="N76" s="7" t="s">
        <v>25</v>
      </c>
      <c r="O76" s="7" t="str">
        <f>IF(COUNTIFS(Table6[Day],Table6[[#This Row],[Day]],Table6[Time Slot],Table6[[#This Row],[Time Slot]],Table6[Faculty ID],Table6[[#This Row],[Faculty ID]])&gt;1,"Conflict","No Conflict")</f>
        <v>No Conflict</v>
      </c>
    </row>
    <row r="77" spans="1:15" x14ac:dyDescent="0.3">
      <c r="A77" s="7" t="s">
        <v>329</v>
      </c>
      <c r="B77" s="7" t="s">
        <v>169</v>
      </c>
      <c r="C77" s="7" t="s">
        <v>192</v>
      </c>
      <c r="D77" s="7" t="s">
        <v>16</v>
      </c>
      <c r="E77" s="7" t="s">
        <v>330</v>
      </c>
      <c r="F77" s="7" t="s">
        <v>194</v>
      </c>
      <c r="G77" s="7" t="s">
        <v>273</v>
      </c>
      <c r="H77" s="7" t="s">
        <v>112</v>
      </c>
      <c r="I77" s="7" t="str">
        <f>_xlfn.XLOOKUP(Table6[[#This Row],[Room ID]],Table4[Room ID],Table4[Room Type])</f>
        <v>Lab</v>
      </c>
      <c r="J77" s="7">
        <v>2023</v>
      </c>
      <c r="K77" s="7">
        <v>8</v>
      </c>
      <c r="L77" s="7" t="s">
        <v>34</v>
      </c>
      <c r="M77" s="7">
        <v>2</v>
      </c>
      <c r="N77" s="7" t="s">
        <v>25</v>
      </c>
      <c r="O77" s="7" t="str">
        <f>IF(COUNTIFS(Table6[Day],Table6[[#This Row],[Day]],Table6[Time Slot],Table6[[#This Row],[Time Slot]],Table6[Faculty ID],Table6[[#This Row],[Faculty ID]])&gt;1,"Conflict","No Conflict")</f>
        <v>No Conflict</v>
      </c>
    </row>
    <row r="78" spans="1:15" x14ac:dyDescent="0.3">
      <c r="A78" s="7" t="s">
        <v>331</v>
      </c>
      <c r="B78" s="7" t="s">
        <v>72</v>
      </c>
      <c r="C78" s="7" t="s">
        <v>141</v>
      </c>
      <c r="D78" s="7" t="s">
        <v>114</v>
      </c>
      <c r="E78" s="7" t="s">
        <v>332</v>
      </c>
      <c r="F78" s="7" t="s">
        <v>40</v>
      </c>
      <c r="G78" s="7" t="s">
        <v>333</v>
      </c>
      <c r="H78" s="7" t="s">
        <v>221</v>
      </c>
      <c r="I78" s="7" t="str">
        <f>_xlfn.XLOOKUP(Table6[[#This Row],[Room ID]],Table4[Room ID],Table4[Room Type])</f>
        <v>Lecture Hall</v>
      </c>
      <c r="J78" s="7">
        <v>2021</v>
      </c>
      <c r="K78" s="7">
        <v>2</v>
      </c>
      <c r="L78" s="7" t="s">
        <v>23</v>
      </c>
      <c r="M78" s="7">
        <v>1</v>
      </c>
      <c r="N78" s="7" t="s">
        <v>24</v>
      </c>
      <c r="O78" s="7" t="str">
        <f>IF(COUNTIFS(Table6[Day],Table6[[#This Row],[Day]],Table6[Time Slot],Table6[[#This Row],[Time Slot]],Table6[Faculty ID],Table6[[#This Row],[Faculty ID]])&gt;1,"Conflict","No Conflict")</f>
        <v>No Conflict</v>
      </c>
    </row>
    <row r="79" spans="1:15" x14ac:dyDescent="0.3">
      <c r="A79" s="7" t="s">
        <v>334</v>
      </c>
      <c r="B79" s="7" t="s">
        <v>27</v>
      </c>
      <c r="C79" s="7" t="s">
        <v>86</v>
      </c>
      <c r="D79" s="7" t="s">
        <v>114</v>
      </c>
      <c r="E79" s="7" t="s">
        <v>115</v>
      </c>
      <c r="F79" s="7" t="s">
        <v>303</v>
      </c>
      <c r="G79" s="7" t="s">
        <v>283</v>
      </c>
      <c r="H79" s="7" t="s">
        <v>274</v>
      </c>
      <c r="I79" s="7" t="str">
        <f>_xlfn.XLOOKUP(Table6[[#This Row],[Room ID]],Table4[Room ID],Table4[Room Type])</f>
        <v>Smart Classroom</v>
      </c>
      <c r="J79" s="7">
        <v>2024</v>
      </c>
      <c r="K79" s="7">
        <v>6</v>
      </c>
      <c r="L79" s="7" t="s">
        <v>34</v>
      </c>
      <c r="M79" s="7">
        <v>2</v>
      </c>
      <c r="N79" s="7" t="s">
        <v>25</v>
      </c>
      <c r="O79" s="7" t="str">
        <f>IF(COUNTIFS(Table6[Day],Table6[[#This Row],[Day]],Table6[Time Slot],Table6[[#This Row],[Time Slot]],Table6[Faculty ID],Table6[[#This Row],[Faculty ID]])&gt;1,"Conflict","No Conflict")</f>
        <v>No Conflict</v>
      </c>
    </row>
    <row r="80" spans="1:15" x14ac:dyDescent="0.3">
      <c r="A80" s="7" t="s">
        <v>335</v>
      </c>
      <c r="B80" s="7" t="s">
        <v>27</v>
      </c>
      <c r="C80" s="7" t="s">
        <v>86</v>
      </c>
      <c r="D80" s="7" t="s">
        <v>46</v>
      </c>
      <c r="E80" s="7" t="s">
        <v>336</v>
      </c>
      <c r="F80" s="7" t="s">
        <v>208</v>
      </c>
      <c r="G80" s="7" t="s">
        <v>333</v>
      </c>
      <c r="H80" s="7" t="s">
        <v>221</v>
      </c>
      <c r="I80" s="7" t="str">
        <f>_xlfn.XLOOKUP(Table6[[#This Row],[Room ID]],Table4[Room ID],Table4[Room Type])</f>
        <v>Lecture Hall</v>
      </c>
      <c r="J80" s="7">
        <v>2022</v>
      </c>
      <c r="K80" s="7">
        <v>2</v>
      </c>
      <c r="L80" s="7" t="s">
        <v>60</v>
      </c>
      <c r="M80" s="7">
        <v>2</v>
      </c>
      <c r="N80" s="7" t="s">
        <v>25</v>
      </c>
      <c r="O80" s="7" t="str">
        <f>IF(COUNTIFS(Table6[Day],Table6[[#This Row],[Day]],Table6[Time Slot],Table6[[#This Row],[Time Slot]],Table6[Faculty ID],Table6[[#This Row],[Faculty ID]])&gt;1,"Conflict","No Conflict")</f>
        <v>No Conflict</v>
      </c>
    </row>
    <row r="81" spans="1:15" x14ac:dyDescent="0.3">
      <c r="A81" s="7" t="s">
        <v>337</v>
      </c>
      <c r="B81" s="7" t="s">
        <v>169</v>
      </c>
      <c r="C81" s="7" t="s">
        <v>86</v>
      </c>
      <c r="D81" s="7" t="s">
        <v>46</v>
      </c>
      <c r="E81" s="7" t="s">
        <v>97</v>
      </c>
      <c r="F81" s="7" t="s">
        <v>262</v>
      </c>
      <c r="G81" s="7" t="s">
        <v>286</v>
      </c>
      <c r="H81" s="7" t="s">
        <v>196</v>
      </c>
      <c r="I81" s="7" t="str">
        <f>_xlfn.XLOOKUP(Table6[[#This Row],[Room ID]],Table4[Room ID],Table4[Room Type])</f>
        <v>Lecture Hall</v>
      </c>
      <c r="J81" s="7">
        <v>2021</v>
      </c>
      <c r="K81" s="7">
        <v>5</v>
      </c>
      <c r="L81" s="7" t="s">
        <v>23</v>
      </c>
      <c r="M81" s="7">
        <v>2</v>
      </c>
      <c r="N81" s="7" t="s">
        <v>25</v>
      </c>
      <c r="O81" s="7" t="str">
        <f>IF(COUNTIFS(Table6[Day],Table6[[#This Row],[Day]],Table6[Time Slot],Table6[[#This Row],[Time Slot]],Table6[Faculty ID],Table6[[#This Row],[Faculty ID]])&gt;1,"Conflict","No Conflict")</f>
        <v>No Conflict</v>
      </c>
    </row>
    <row r="82" spans="1:15" x14ac:dyDescent="0.3">
      <c r="A82" s="7" t="s">
        <v>338</v>
      </c>
      <c r="B82" s="7" t="s">
        <v>53</v>
      </c>
      <c r="C82" s="7" t="s">
        <v>37</v>
      </c>
      <c r="D82" s="7" t="s">
        <v>46</v>
      </c>
      <c r="E82" s="7" t="s">
        <v>297</v>
      </c>
      <c r="F82" s="7" t="s">
        <v>83</v>
      </c>
      <c r="G82" s="7" t="s">
        <v>333</v>
      </c>
      <c r="H82" s="7" t="s">
        <v>339</v>
      </c>
      <c r="I82" s="7" t="str">
        <f>_xlfn.XLOOKUP(Table6[[#This Row],[Room ID]],Table4[Room ID],Table4[Room Type])</f>
        <v>Lecture Hall</v>
      </c>
      <c r="J82" s="7">
        <v>2021</v>
      </c>
      <c r="K82" s="7">
        <v>3</v>
      </c>
      <c r="L82" s="7" t="s">
        <v>23</v>
      </c>
      <c r="M82" s="7">
        <v>1</v>
      </c>
      <c r="N82" s="7" t="s">
        <v>24</v>
      </c>
      <c r="O82" s="7" t="str">
        <f>IF(COUNTIFS(Table6[Day],Table6[[#This Row],[Day]],Table6[Time Slot],Table6[[#This Row],[Time Slot]],Table6[Faculty ID],Table6[[#This Row],[Faculty ID]])&gt;1,"Conflict","No Conflict")</f>
        <v>No Conflict</v>
      </c>
    </row>
    <row r="83" spans="1:15" x14ac:dyDescent="0.3">
      <c r="A83" s="7" t="s">
        <v>340</v>
      </c>
      <c r="B83" s="7" t="s">
        <v>36</v>
      </c>
      <c r="C83" s="7" t="s">
        <v>37</v>
      </c>
      <c r="D83" s="7" t="s">
        <v>164</v>
      </c>
      <c r="E83" s="7" t="s">
        <v>341</v>
      </c>
      <c r="F83" s="7" t="s">
        <v>180</v>
      </c>
      <c r="G83" s="7" t="s">
        <v>176</v>
      </c>
      <c r="H83" s="7" t="s">
        <v>70</v>
      </c>
      <c r="I83" s="7" t="str">
        <f>_xlfn.XLOOKUP(Table6[[#This Row],[Room ID]],Table4[Room ID],Table4[Room Type])</f>
        <v>Seminar Room</v>
      </c>
      <c r="J83" s="7">
        <v>2021</v>
      </c>
      <c r="K83" s="7">
        <v>3</v>
      </c>
      <c r="L83" s="7" t="s">
        <v>95</v>
      </c>
      <c r="M83" s="7">
        <v>1</v>
      </c>
      <c r="N83" s="7" t="s">
        <v>24</v>
      </c>
      <c r="O83" s="7" t="str">
        <f>IF(COUNTIFS(Table6[Day],Table6[[#This Row],[Day]],Table6[Time Slot],Table6[[#This Row],[Time Slot]],Table6[Faculty ID],Table6[[#This Row],[Faculty ID]])&gt;1,"Conflict","No Conflict")</f>
        <v>No Conflict</v>
      </c>
    </row>
    <row r="84" spans="1:15" x14ac:dyDescent="0.3">
      <c r="A84" s="7" t="s">
        <v>342</v>
      </c>
      <c r="B84" s="7" t="s">
        <v>169</v>
      </c>
      <c r="C84" s="7" t="s">
        <v>192</v>
      </c>
      <c r="D84" s="7" t="s">
        <v>46</v>
      </c>
      <c r="E84" s="7" t="s">
        <v>343</v>
      </c>
      <c r="F84" s="7" t="s">
        <v>120</v>
      </c>
      <c r="G84" s="7" t="s">
        <v>107</v>
      </c>
      <c r="H84" s="7" t="s">
        <v>216</v>
      </c>
      <c r="I84" s="7" t="str">
        <f>_xlfn.XLOOKUP(Table6[[#This Row],[Room ID]],Table4[Room ID],Table4[Room Type])</f>
        <v>Lab</v>
      </c>
      <c r="J84" s="7">
        <v>2023</v>
      </c>
      <c r="K84" s="7">
        <v>7</v>
      </c>
      <c r="L84" s="7" t="s">
        <v>23</v>
      </c>
      <c r="M84" s="7">
        <v>1</v>
      </c>
      <c r="N84" s="7" t="s">
        <v>24</v>
      </c>
      <c r="O84" s="7" t="str">
        <f>IF(COUNTIFS(Table6[Day],Table6[[#This Row],[Day]],Table6[Time Slot],Table6[[#This Row],[Time Slot]],Table6[Faculty ID],Table6[[#This Row],[Faculty ID]])&gt;1,"Conflict","No Conflict")</f>
        <v>No Conflict</v>
      </c>
    </row>
    <row r="85" spans="1:15" x14ac:dyDescent="0.3">
      <c r="A85" s="7" t="s">
        <v>344</v>
      </c>
      <c r="B85" s="7" t="s">
        <v>169</v>
      </c>
      <c r="C85" s="7" t="s">
        <v>100</v>
      </c>
      <c r="D85" s="7" t="s">
        <v>46</v>
      </c>
      <c r="E85" s="7" t="s">
        <v>345</v>
      </c>
      <c r="F85" s="7" t="s">
        <v>48</v>
      </c>
      <c r="G85" s="7" t="s">
        <v>147</v>
      </c>
      <c r="H85" s="7" t="s">
        <v>181</v>
      </c>
      <c r="I85" s="7" t="str">
        <f>_xlfn.XLOOKUP(Table6[[#This Row],[Room ID]],Table4[Room ID],Table4[Room Type])</f>
        <v>Lecture Hall</v>
      </c>
      <c r="J85" s="7">
        <v>2022</v>
      </c>
      <c r="K85" s="7">
        <v>3</v>
      </c>
      <c r="L85" s="7" t="s">
        <v>60</v>
      </c>
      <c r="M85" s="7">
        <v>2</v>
      </c>
      <c r="N85" s="7" t="s">
        <v>25</v>
      </c>
      <c r="O85" s="7" t="str">
        <f>IF(COUNTIFS(Table6[Day],Table6[[#This Row],[Day]],Table6[Time Slot],Table6[[#This Row],[Time Slot]],Table6[Faculty ID],Table6[[#This Row],[Faculty ID]])&gt;1,"Conflict","No Conflict")</f>
        <v>No Conflict</v>
      </c>
    </row>
    <row r="86" spans="1:15" x14ac:dyDescent="0.3">
      <c r="A86" s="7" t="s">
        <v>595</v>
      </c>
      <c r="B86" s="7" t="s">
        <v>53</v>
      </c>
      <c r="C86" s="7" t="s">
        <v>100</v>
      </c>
      <c r="D86" s="7" t="s">
        <v>16</v>
      </c>
      <c r="E86" s="7" t="s">
        <v>597</v>
      </c>
      <c r="F86" s="7" t="s">
        <v>18</v>
      </c>
      <c r="G86" s="7" t="s">
        <v>220</v>
      </c>
      <c r="H86" s="7" t="s">
        <v>84</v>
      </c>
      <c r="I86" s="7" t="str">
        <f>_xlfn.XLOOKUP(Table6[[#This Row],[Room ID]],Table4[Room ID],Table4[Room Type])</f>
        <v>Seminar Room</v>
      </c>
      <c r="J86" s="7">
        <v>2022</v>
      </c>
      <c r="K86" s="7">
        <v>8</v>
      </c>
      <c r="L86" s="7" t="s">
        <v>23</v>
      </c>
      <c r="M86" s="7">
        <v>2</v>
      </c>
      <c r="N86" s="7" t="s">
        <v>25</v>
      </c>
      <c r="O86" s="7" t="str">
        <f>IF(COUNTIFS(Table6[Day],Table6[[#This Row],[Day]],Table6[Time Slot],Table6[[#This Row],[Time Slot]],Table6[Faculty ID],Table6[[#This Row],[Faculty ID]])&gt;1,"Conflict","No Conflict")</f>
        <v>No Conflict</v>
      </c>
    </row>
    <row r="87" spans="1:15" x14ac:dyDescent="0.3">
      <c r="A87" s="7" t="s">
        <v>598</v>
      </c>
      <c r="B87" s="7" t="s">
        <v>36</v>
      </c>
      <c r="C87" s="7" t="s">
        <v>15</v>
      </c>
      <c r="D87" s="7" t="s">
        <v>66</v>
      </c>
      <c r="E87" s="7" t="s">
        <v>599</v>
      </c>
      <c r="F87" s="7" t="s">
        <v>56</v>
      </c>
      <c r="G87" s="7" t="s">
        <v>215</v>
      </c>
      <c r="H87" s="7" t="s">
        <v>515</v>
      </c>
      <c r="I87" s="7" t="str">
        <f>_xlfn.XLOOKUP(Table6[[#This Row],[Room ID]],Table4[Room ID],Table4[Room Type])</f>
        <v>Seminar Room</v>
      </c>
      <c r="J87" s="7">
        <v>2024</v>
      </c>
      <c r="K87" s="7">
        <v>7</v>
      </c>
      <c r="L87" s="7" t="s">
        <v>60</v>
      </c>
      <c r="M87" s="7">
        <v>1</v>
      </c>
      <c r="N87" s="7" t="s">
        <v>25</v>
      </c>
      <c r="O87" s="7" t="str">
        <f>IF(COUNTIFS(Table6[Day],Table6[[#This Row],[Day]],Table6[Time Slot],Table6[[#This Row],[Time Slot]],Table6[Faculty ID],Table6[[#This Row],[Faculty ID]])&gt;1,"Conflict","No Conflict")</f>
        <v>No Conflict</v>
      </c>
    </row>
    <row r="88" spans="1:15" x14ac:dyDescent="0.3">
      <c r="A88" s="9" t="s">
        <v>601</v>
      </c>
      <c r="B88" s="9" t="s">
        <v>602</v>
      </c>
      <c r="C88" s="9" t="s">
        <v>141</v>
      </c>
      <c r="D88" s="9" t="s">
        <v>28</v>
      </c>
      <c r="E88" s="9" t="s">
        <v>603</v>
      </c>
      <c r="F88" s="9" t="s">
        <v>135</v>
      </c>
      <c r="G88" s="9" t="s">
        <v>369</v>
      </c>
      <c r="H88" s="9" t="s">
        <v>274</v>
      </c>
      <c r="I88" s="9" t="str">
        <f>_xlfn.XLOOKUP(Table6[[#This Row],[Room ID]],Table4[Room ID],Table4[Room Type])</f>
        <v>Smart Classroom</v>
      </c>
      <c r="J88" s="9">
        <v>2023</v>
      </c>
      <c r="K88" s="9">
        <v>7</v>
      </c>
      <c r="L88" s="9" t="s">
        <v>60</v>
      </c>
      <c r="M88" s="9">
        <v>1</v>
      </c>
      <c r="N88" s="9" t="s">
        <v>24</v>
      </c>
      <c r="O88" s="9" t="str">
        <f>IF(COUNTIFS(Table6[Day],Table6[[#This Row],[Day]],Table6[Time Slot],Table6[[#This Row],[Time Slot]],Table6[Faculty ID],Table6[[#This Row],[Faculty ID]])&gt;1,"Conflict","No Conflict")</f>
        <v>No Conflict</v>
      </c>
    </row>
    <row r="89" spans="1:15" x14ac:dyDescent="0.3">
      <c r="A89" s="7" t="s">
        <v>604</v>
      </c>
      <c r="B89" s="7" t="s">
        <v>606</v>
      </c>
      <c r="C89" s="7" t="s">
        <v>45</v>
      </c>
      <c r="D89" s="7" t="s">
        <v>16</v>
      </c>
      <c r="E89" s="7" t="s">
        <v>149</v>
      </c>
      <c r="F89" s="7" t="s">
        <v>63</v>
      </c>
      <c r="G89" s="7" t="s">
        <v>384</v>
      </c>
      <c r="H89" s="7" t="s">
        <v>112</v>
      </c>
      <c r="I89" s="7" t="str">
        <f>_xlfn.XLOOKUP(Table6[[#This Row],[Room ID]],Table4[Room ID],Table4[Room Type])</f>
        <v>Lab</v>
      </c>
      <c r="J89" s="7">
        <v>2023</v>
      </c>
      <c r="K89" s="7">
        <v>3</v>
      </c>
      <c r="L89" s="7" t="s">
        <v>95</v>
      </c>
      <c r="M89" s="7">
        <v>2</v>
      </c>
      <c r="N89" s="7" t="s">
        <v>24</v>
      </c>
      <c r="O89" s="33" t="str">
        <f>IF(COUNTIFS(Table6[Day],Table6[[#This Row],[Day]],Table6[Time Slot],Table6[[#This Row],[Time Slot]],Table6[Faculty ID],Table6[[#This Row],[Faculty ID]])&gt;1,"Conflict","No Conflict")</f>
        <v>No Conflict</v>
      </c>
    </row>
    <row r="90" spans="1:15" x14ac:dyDescent="0.3">
      <c r="A90" s="34" t="s">
        <v>605</v>
      </c>
      <c r="B90" s="35" t="s">
        <v>36</v>
      </c>
      <c r="C90" s="35" t="s">
        <v>100</v>
      </c>
      <c r="D90" s="35" t="s">
        <v>164</v>
      </c>
      <c r="E90" s="35" t="s">
        <v>285</v>
      </c>
      <c r="F90" s="35" t="s">
        <v>79</v>
      </c>
      <c r="G90" s="35" t="s">
        <v>131</v>
      </c>
      <c r="H90" s="35" t="s">
        <v>112</v>
      </c>
      <c r="I90" s="35" t="str">
        <f>_xlfn.XLOOKUP(Table6[[#This Row],[Room ID]],Table4[Room ID],Table4[Room Type])</f>
        <v>Lab</v>
      </c>
      <c r="J90" s="35">
        <v>2021</v>
      </c>
      <c r="K90" s="35">
        <v>5</v>
      </c>
      <c r="L90" s="35" t="s">
        <v>34</v>
      </c>
      <c r="M90" s="35">
        <v>2</v>
      </c>
      <c r="N90" s="35" t="s">
        <v>25</v>
      </c>
      <c r="O90" s="36" t="str">
        <f>IF(COUNTIFS(Table6[Day],Table6[[#This Row],[Day]],Table6[Time Slot],Table6[[#This Row],[Time Slot]],Table6[Faculty ID],Table6[[#This Row],[Faculty ID]])&gt;1,"Conflict","No Conflict")</f>
        <v>No Conflict</v>
      </c>
    </row>
    <row r="91" spans="1:15" x14ac:dyDescent="0.3">
      <c r="A91" s="42" t="s">
        <v>630</v>
      </c>
      <c r="B91" s="43" t="s">
        <v>53</v>
      </c>
      <c r="C91" s="43" t="s">
        <v>45</v>
      </c>
      <c r="D91" s="43" t="s">
        <v>16</v>
      </c>
      <c r="E91" s="43" t="s">
        <v>149</v>
      </c>
      <c r="F91" s="43" t="s">
        <v>143</v>
      </c>
      <c r="G91" s="43" t="s">
        <v>283</v>
      </c>
      <c r="H91" s="43" t="s">
        <v>247</v>
      </c>
      <c r="I91" s="43" t="str">
        <f>_xlfn.XLOOKUP(Table6[[#This Row],[Room ID]],Table4[Room ID],Table4[Room Type])</f>
        <v>Smart Classroom</v>
      </c>
      <c r="J91" s="43">
        <v>2022</v>
      </c>
      <c r="K91" s="43">
        <v>4</v>
      </c>
      <c r="L91" s="43" t="s">
        <v>95</v>
      </c>
      <c r="M91" s="43">
        <v>1</v>
      </c>
      <c r="N91" s="43" t="s">
        <v>25</v>
      </c>
      <c r="O91" s="44" t="str">
        <f>IF(COUNTIFS(Table6[Day],Table6[[#This Row],[Day]],Table6[Time Slot],Table6[[#This Row],[Time Slot]],Table6[Faculty ID],Table6[[#This Row],[Faculty ID]])&gt;1,"Conflict","No Conflict")</f>
        <v>No Conflict</v>
      </c>
    </row>
    <row r="92" spans="1:15" x14ac:dyDescent="0.3">
      <c r="A92" s="45" t="s">
        <v>631</v>
      </c>
      <c r="B92" s="46" t="s">
        <v>36</v>
      </c>
      <c r="C92" s="46" t="s">
        <v>141</v>
      </c>
      <c r="D92" s="46" t="s">
        <v>46</v>
      </c>
      <c r="E92" s="46" t="s">
        <v>632</v>
      </c>
      <c r="F92" s="46" t="s">
        <v>146</v>
      </c>
      <c r="G92" s="46" t="s">
        <v>326</v>
      </c>
      <c r="H92" s="46" t="s">
        <v>112</v>
      </c>
      <c r="I92" s="46" t="str">
        <f>_xlfn.XLOOKUP(Table6[[#This Row],[Room ID]],Table4[Room ID],Table4[Room Type])</f>
        <v>Lab</v>
      </c>
      <c r="J92" s="46">
        <v>2022</v>
      </c>
      <c r="K92" s="46">
        <v>3</v>
      </c>
      <c r="L92" s="46" t="s">
        <v>60</v>
      </c>
      <c r="M92" s="46">
        <v>1</v>
      </c>
      <c r="N92" s="46" t="s">
        <v>25</v>
      </c>
      <c r="O92" s="47" t="str">
        <f>IF(COUNTIFS(Table6[Day],Table6[[#This Row],[Day]],Table6[Time Slot],Table6[[#This Row],[Time Slot]],Table6[Faculty ID],Table6[[#This Row],[Faculty ID]])&gt;1,"Conflict","No Conflict")</f>
        <v>No Conflict</v>
      </c>
    </row>
    <row r="93" spans="1:15" x14ac:dyDescent="0.3">
      <c r="A93" s="54" t="s">
        <v>641</v>
      </c>
      <c r="B93" s="55" t="s">
        <v>36</v>
      </c>
      <c r="C93" s="55" t="s">
        <v>15</v>
      </c>
      <c r="D93" s="55" t="s">
        <v>66</v>
      </c>
      <c r="E93" s="55" t="s">
        <v>642</v>
      </c>
      <c r="F93" s="55" t="s">
        <v>56</v>
      </c>
      <c r="G93" s="55" t="s">
        <v>49</v>
      </c>
      <c r="H93" s="55" t="s">
        <v>20</v>
      </c>
      <c r="I93" s="55" t="str">
        <f>_xlfn.XLOOKUP(Table6[[#This Row],[Room ID]],Table4[Room ID],Table4[Room Type])</f>
        <v>Smart Classroom</v>
      </c>
      <c r="J93" s="55">
        <v>2022</v>
      </c>
      <c r="K93" s="55">
        <v>5</v>
      </c>
      <c r="L93" s="55" t="s">
        <v>95</v>
      </c>
      <c r="M93" s="55">
        <v>2</v>
      </c>
      <c r="N93" s="55" t="s">
        <v>24</v>
      </c>
      <c r="O93" s="56" t="str">
        <f>IF(COUNTIFS(Table6[Day],Table6[[#This Row],[Day]],Table6[Time Slot],Table6[[#This Row],[Time Slot]],Table6[Faculty ID],Table6[[#This Row],[Faculty ID]])&gt;1,"Conflict","No Conflict")</f>
        <v>No Conflict</v>
      </c>
    </row>
    <row r="94" spans="1:15" x14ac:dyDescent="0.3">
      <c r="A94" s="58" t="s">
        <v>643</v>
      </c>
      <c r="B94" s="57" t="s">
        <v>606</v>
      </c>
      <c r="C94" s="57" t="s">
        <v>37</v>
      </c>
      <c r="D94" s="57" t="s">
        <v>38</v>
      </c>
      <c r="E94" s="57" t="s">
        <v>644</v>
      </c>
      <c r="F94" s="57" t="s">
        <v>135</v>
      </c>
      <c r="G94" s="57" t="s">
        <v>103</v>
      </c>
      <c r="H94" s="57" t="s">
        <v>58</v>
      </c>
      <c r="I94" s="57" t="str">
        <f>_xlfn.XLOOKUP(Table6[[#This Row],[Room ID]],Table4[Room ID],Table4[Room Type])</f>
        <v>Lecture Hall</v>
      </c>
      <c r="J94" s="57">
        <v>2022</v>
      </c>
      <c r="K94" s="57">
        <v>5</v>
      </c>
      <c r="L94" s="57" t="s">
        <v>34</v>
      </c>
      <c r="M94" s="57">
        <v>1</v>
      </c>
      <c r="N94" s="57" t="s">
        <v>24</v>
      </c>
      <c r="O94" s="59" t="str">
        <f>IF(COUNTIFS(Table6[Day],Table6[[#This Row],[Day]],Table6[Time Slot],Table6[[#This Row],[Time Slot]],Table6[Faculty ID],Table6[[#This Row],[Faculty ID]])&gt;1,"Conflict","No Conflict")</f>
        <v>No Conflict</v>
      </c>
    </row>
  </sheetData>
  <mergeCells count="1">
    <mergeCell ref="Q7:R8"/>
  </mergeCells>
  <phoneticPr fontId="3" type="noConversion"/>
  <conditionalFormatting sqref="O1:O1048576">
    <cfRule type="cellIs" dxfId="41" priority="1" operator="equal">
      <formula>"Conflict"</formula>
    </cfRule>
  </conditionalFormatting>
  <hyperlinks>
    <hyperlink ref="Q7" location="Index!A1" display="Index!A1" xr:uid="{6A4D186C-B30F-4BDD-95D9-3DC1E1D2DF35}"/>
  </hyperlink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08509-9DFA-4A29-96D6-93285AAFE4CF}">
  <sheetPr codeName="Sheet6"/>
  <dimension ref="A1:L110"/>
  <sheetViews>
    <sheetView workbookViewId="0">
      <selection activeCell="K6" sqref="K6:L7"/>
    </sheetView>
  </sheetViews>
  <sheetFormatPr defaultRowHeight="14.4" x14ac:dyDescent="0.3"/>
  <cols>
    <col min="1" max="1" width="10" customWidth="1"/>
    <col min="2" max="2" width="22" customWidth="1"/>
    <col min="3" max="3" width="14" customWidth="1"/>
    <col min="4" max="4" width="22" customWidth="1"/>
    <col min="5" max="5" width="20" customWidth="1"/>
    <col min="6" max="6" width="16" customWidth="1"/>
    <col min="7" max="7" width="10" customWidth="1"/>
    <col min="8" max="8" width="14" customWidth="1"/>
  </cols>
  <sheetData>
    <row r="1" spans="1:12" x14ac:dyDescent="0.3">
      <c r="A1" s="4" t="s">
        <v>6</v>
      </c>
      <c r="B1" s="4" t="s">
        <v>346</v>
      </c>
      <c r="C1" s="4" t="s">
        <v>3</v>
      </c>
      <c r="D1" s="4" t="s">
        <v>347</v>
      </c>
      <c r="E1" s="4" t="s">
        <v>348</v>
      </c>
      <c r="F1" s="4" t="s">
        <v>349</v>
      </c>
      <c r="G1" s="4" t="s">
        <v>9</v>
      </c>
      <c r="H1" s="4" t="s">
        <v>354</v>
      </c>
      <c r="I1" s="4" t="s">
        <v>352</v>
      </c>
    </row>
    <row r="2" spans="1:12" x14ac:dyDescent="0.3">
      <c r="A2" s="5" t="s">
        <v>89</v>
      </c>
      <c r="B2" s="5" t="s">
        <v>355</v>
      </c>
      <c r="C2" s="5" t="s">
        <v>198</v>
      </c>
      <c r="D2" s="5" t="s">
        <v>356</v>
      </c>
      <c r="E2" s="5" t="s">
        <v>357</v>
      </c>
      <c r="F2" s="5">
        <v>5</v>
      </c>
      <c r="G2" s="5" t="s">
        <v>358</v>
      </c>
      <c r="H2" s="5" t="s">
        <v>359</v>
      </c>
      <c r="I2" s="11">
        <v>8</v>
      </c>
    </row>
    <row r="3" spans="1:12" x14ac:dyDescent="0.3">
      <c r="A3" s="5" t="s">
        <v>360</v>
      </c>
      <c r="B3" s="5" t="s">
        <v>361</v>
      </c>
      <c r="C3" s="5" t="s">
        <v>198</v>
      </c>
      <c r="D3" s="5" t="s">
        <v>362</v>
      </c>
      <c r="E3" s="5" t="s">
        <v>363</v>
      </c>
      <c r="F3" s="5">
        <v>19</v>
      </c>
      <c r="G3" s="5" t="s">
        <v>358</v>
      </c>
      <c r="H3" s="5" t="s">
        <v>359</v>
      </c>
      <c r="I3" s="11">
        <v>10</v>
      </c>
    </row>
    <row r="4" spans="1:12" x14ac:dyDescent="0.3">
      <c r="A4" s="5" t="s">
        <v>171</v>
      </c>
      <c r="B4" s="5" t="s">
        <v>364</v>
      </c>
      <c r="C4" s="5" t="s">
        <v>198</v>
      </c>
      <c r="D4" s="5" t="s">
        <v>365</v>
      </c>
      <c r="E4" s="5" t="s">
        <v>366</v>
      </c>
      <c r="F4" s="5">
        <v>14</v>
      </c>
      <c r="G4" s="5" t="s">
        <v>367</v>
      </c>
      <c r="H4" s="5" t="s">
        <v>368</v>
      </c>
      <c r="I4" s="11">
        <v>8</v>
      </c>
    </row>
    <row r="5" spans="1:12" x14ac:dyDescent="0.3">
      <c r="A5" s="5" t="s">
        <v>369</v>
      </c>
      <c r="B5" s="5" t="s">
        <v>370</v>
      </c>
      <c r="C5" s="5" t="s">
        <v>28</v>
      </c>
      <c r="D5" s="5" t="s">
        <v>365</v>
      </c>
      <c r="E5" s="5" t="s">
        <v>357</v>
      </c>
      <c r="F5" s="5">
        <v>3</v>
      </c>
      <c r="G5" s="5" t="s">
        <v>358</v>
      </c>
      <c r="H5" s="5" t="s">
        <v>371</v>
      </c>
      <c r="I5" s="11">
        <v>8</v>
      </c>
    </row>
    <row r="6" spans="1:12" x14ac:dyDescent="0.3">
      <c r="A6" s="5" t="s">
        <v>80</v>
      </c>
      <c r="B6" s="5" t="s">
        <v>522</v>
      </c>
      <c r="C6" s="5" t="s">
        <v>38</v>
      </c>
      <c r="D6" s="5" t="s">
        <v>365</v>
      </c>
      <c r="E6" s="5" t="s">
        <v>357</v>
      </c>
      <c r="F6" s="5">
        <v>6</v>
      </c>
      <c r="G6" s="5" t="s">
        <v>358</v>
      </c>
      <c r="H6" s="5" t="s">
        <v>371</v>
      </c>
      <c r="I6" s="11">
        <v>8</v>
      </c>
      <c r="K6" s="66" t="s">
        <v>594</v>
      </c>
      <c r="L6" s="67"/>
    </row>
    <row r="7" spans="1:12" x14ac:dyDescent="0.3">
      <c r="A7" s="5" t="s">
        <v>234</v>
      </c>
      <c r="B7" s="5" t="s">
        <v>373</v>
      </c>
      <c r="C7" s="5" t="s">
        <v>114</v>
      </c>
      <c r="D7" s="5" t="s">
        <v>365</v>
      </c>
      <c r="E7" s="5" t="s">
        <v>357</v>
      </c>
      <c r="F7" s="5">
        <v>15</v>
      </c>
      <c r="G7" s="5" t="s">
        <v>358</v>
      </c>
      <c r="H7" s="5" t="s">
        <v>371</v>
      </c>
      <c r="I7" s="11">
        <v>8</v>
      </c>
      <c r="K7" s="68"/>
      <c r="L7" s="69"/>
    </row>
    <row r="8" spans="1:12" x14ac:dyDescent="0.3">
      <c r="A8" s="5" t="s">
        <v>265</v>
      </c>
      <c r="B8" s="5" t="s">
        <v>374</v>
      </c>
      <c r="C8" s="5" t="s">
        <v>46</v>
      </c>
      <c r="D8" s="5" t="s">
        <v>526</v>
      </c>
      <c r="E8" s="5" t="s">
        <v>375</v>
      </c>
      <c r="F8" s="5">
        <v>2</v>
      </c>
      <c r="G8" s="5" t="s">
        <v>367</v>
      </c>
      <c r="H8" s="5" t="s">
        <v>371</v>
      </c>
      <c r="I8" s="11">
        <v>10</v>
      </c>
    </row>
    <row r="9" spans="1:12" x14ac:dyDescent="0.3">
      <c r="A9" s="5" t="s">
        <v>376</v>
      </c>
      <c r="B9" s="5" t="s">
        <v>377</v>
      </c>
      <c r="C9" s="5" t="s">
        <v>541</v>
      </c>
      <c r="D9" s="5" t="s">
        <v>356</v>
      </c>
      <c r="E9" s="5" t="s">
        <v>378</v>
      </c>
      <c r="F9" s="5"/>
      <c r="G9" s="5" t="s">
        <v>367</v>
      </c>
      <c r="H9" s="5" t="s">
        <v>359</v>
      </c>
      <c r="I9" s="11">
        <v>10</v>
      </c>
    </row>
    <row r="10" spans="1:12" x14ac:dyDescent="0.3">
      <c r="A10" s="5" t="s">
        <v>220</v>
      </c>
      <c r="B10" s="5" t="s">
        <v>379</v>
      </c>
      <c r="C10" s="5" t="s">
        <v>16</v>
      </c>
      <c r="D10" s="5" t="s">
        <v>380</v>
      </c>
      <c r="E10" s="5" t="s">
        <v>381</v>
      </c>
      <c r="F10" s="5">
        <v>6</v>
      </c>
      <c r="G10" s="5" t="s">
        <v>367</v>
      </c>
      <c r="H10" s="5" t="s">
        <v>368</v>
      </c>
      <c r="I10" s="11">
        <v>10</v>
      </c>
    </row>
    <row r="11" spans="1:12" x14ac:dyDescent="0.3">
      <c r="A11" s="3" t="s">
        <v>333</v>
      </c>
      <c r="B11" s="3" t="s">
        <v>382</v>
      </c>
      <c r="C11" s="3" t="s">
        <v>114</v>
      </c>
      <c r="D11" s="3" t="s">
        <v>380</v>
      </c>
      <c r="E11" s="3"/>
      <c r="F11" s="3">
        <v>26</v>
      </c>
      <c r="G11" s="3" t="s">
        <v>358</v>
      </c>
      <c r="H11" s="3" t="s">
        <v>368</v>
      </c>
      <c r="I11" s="11">
        <v>10</v>
      </c>
    </row>
    <row r="12" spans="1:12" x14ac:dyDescent="0.3">
      <c r="A12" s="3"/>
      <c r="B12" s="3"/>
      <c r="C12" s="3"/>
      <c r="D12" s="3"/>
      <c r="E12" s="3"/>
      <c r="F12" s="3"/>
      <c r="G12" s="3"/>
      <c r="H12" s="3"/>
      <c r="I12" s="11" t="s">
        <v>557</v>
      </c>
    </row>
    <row r="13" spans="1:12" x14ac:dyDescent="0.3">
      <c r="A13" s="5" t="s">
        <v>158</v>
      </c>
      <c r="B13" s="5" t="s">
        <v>383</v>
      </c>
      <c r="C13" s="5" t="s">
        <v>38</v>
      </c>
      <c r="D13" s="5" t="s">
        <v>365</v>
      </c>
      <c r="E13" s="5" t="s">
        <v>363</v>
      </c>
      <c r="F13" s="5">
        <v>21</v>
      </c>
      <c r="G13" s="5" t="s">
        <v>358</v>
      </c>
      <c r="H13" s="5" t="s">
        <v>371</v>
      </c>
      <c r="I13" s="11">
        <v>8</v>
      </c>
    </row>
    <row r="14" spans="1:12" x14ac:dyDescent="0.3">
      <c r="A14" s="3" t="s">
        <v>384</v>
      </c>
      <c r="B14" s="3" t="s">
        <v>385</v>
      </c>
      <c r="C14" s="3" t="s">
        <v>16</v>
      </c>
      <c r="D14" s="3" t="s">
        <v>356</v>
      </c>
      <c r="E14" s="3" t="s">
        <v>378</v>
      </c>
      <c r="F14" s="3">
        <v>12</v>
      </c>
      <c r="G14" s="3" t="s">
        <v>358</v>
      </c>
      <c r="H14" s="3" t="s">
        <v>368</v>
      </c>
      <c r="I14" s="11">
        <v>10</v>
      </c>
    </row>
    <row r="15" spans="1:12" x14ac:dyDescent="0.3">
      <c r="A15" s="5" t="s">
        <v>162</v>
      </c>
      <c r="B15" s="5" t="s">
        <v>386</v>
      </c>
      <c r="C15" s="5" t="s">
        <v>16</v>
      </c>
      <c r="D15" s="5" t="s">
        <v>365</v>
      </c>
      <c r="E15" s="5" t="s">
        <v>366</v>
      </c>
      <c r="F15" s="5">
        <v>17</v>
      </c>
      <c r="G15" s="5" t="s">
        <v>367</v>
      </c>
      <c r="H15" s="5" t="s">
        <v>371</v>
      </c>
      <c r="I15" s="11">
        <v>8</v>
      </c>
    </row>
    <row r="16" spans="1:12" x14ac:dyDescent="0.3">
      <c r="A16" s="5" t="s">
        <v>147</v>
      </c>
      <c r="B16" s="5" t="s">
        <v>523</v>
      </c>
      <c r="C16" s="5" t="s">
        <v>38</v>
      </c>
      <c r="D16" s="5" t="s">
        <v>356</v>
      </c>
      <c r="E16" s="5" t="s">
        <v>366</v>
      </c>
      <c r="F16" s="5">
        <v>14</v>
      </c>
      <c r="G16" s="5" t="s">
        <v>358</v>
      </c>
      <c r="H16" s="5" t="s">
        <v>371</v>
      </c>
      <c r="I16" s="11">
        <v>8</v>
      </c>
    </row>
    <row r="17" spans="1:9" x14ac:dyDescent="0.3">
      <c r="A17" s="5" t="s">
        <v>273</v>
      </c>
      <c r="B17" s="5" t="s">
        <v>388</v>
      </c>
      <c r="C17" s="5" t="s">
        <v>544</v>
      </c>
      <c r="D17" s="5" t="s">
        <v>365</v>
      </c>
      <c r="E17" s="5"/>
      <c r="F17" s="5">
        <v>29</v>
      </c>
      <c r="G17" s="5" t="s">
        <v>358</v>
      </c>
      <c r="H17" s="5" t="s">
        <v>368</v>
      </c>
      <c r="I17" s="11">
        <v>8</v>
      </c>
    </row>
    <row r="18" spans="1:9" x14ac:dyDescent="0.3">
      <c r="A18" s="3" t="s">
        <v>131</v>
      </c>
      <c r="B18" s="3" t="s">
        <v>389</v>
      </c>
      <c r="C18" s="3" t="s">
        <v>164</v>
      </c>
      <c r="D18" s="3" t="s">
        <v>390</v>
      </c>
      <c r="E18" s="3" t="s">
        <v>357</v>
      </c>
      <c r="F18" s="3">
        <v>26</v>
      </c>
      <c r="G18" s="3" t="s">
        <v>358</v>
      </c>
      <c r="H18" s="3" t="s">
        <v>371</v>
      </c>
      <c r="I18" s="11">
        <v>10</v>
      </c>
    </row>
    <row r="19" spans="1:9" x14ac:dyDescent="0.3">
      <c r="A19" s="6" t="s">
        <v>136</v>
      </c>
      <c r="B19" s="6" t="s">
        <v>391</v>
      </c>
      <c r="C19" s="6" t="s">
        <v>38</v>
      </c>
      <c r="D19" s="6" t="s">
        <v>365</v>
      </c>
      <c r="E19" s="6" t="s">
        <v>375</v>
      </c>
      <c r="F19" s="6">
        <v>29</v>
      </c>
      <c r="G19" s="6" t="s">
        <v>358</v>
      </c>
      <c r="H19" s="6" t="s">
        <v>359</v>
      </c>
      <c r="I19" s="11">
        <v>8</v>
      </c>
    </row>
    <row r="20" spans="1:9" x14ac:dyDescent="0.3">
      <c r="A20" s="3" t="s">
        <v>107</v>
      </c>
      <c r="B20" s="3" t="s">
        <v>392</v>
      </c>
      <c r="C20" s="3" t="s">
        <v>114</v>
      </c>
      <c r="D20" s="3" t="s">
        <v>390</v>
      </c>
      <c r="E20" s="3" t="s">
        <v>375</v>
      </c>
      <c r="F20" s="3">
        <v>3</v>
      </c>
      <c r="G20" s="3" t="s">
        <v>358</v>
      </c>
      <c r="H20" s="3" t="s">
        <v>359</v>
      </c>
      <c r="I20" s="11">
        <v>10</v>
      </c>
    </row>
    <row r="21" spans="1:9" x14ac:dyDescent="0.3">
      <c r="A21" s="6" t="s">
        <v>393</v>
      </c>
      <c r="B21" s="6" t="s">
        <v>527</v>
      </c>
      <c r="C21" s="6" t="s">
        <v>198</v>
      </c>
      <c r="D21" s="6" t="s">
        <v>390</v>
      </c>
      <c r="E21" s="6" t="s">
        <v>381</v>
      </c>
      <c r="F21" s="6">
        <v>16</v>
      </c>
      <c r="G21" s="6" t="s">
        <v>358</v>
      </c>
      <c r="H21" s="6" t="s">
        <v>359</v>
      </c>
      <c r="I21" s="11">
        <v>10</v>
      </c>
    </row>
    <row r="22" spans="1:9" x14ac:dyDescent="0.3">
      <c r="A22" s="3" t="s">
        <v>176</v>
      </c>
      <c r="B22" s="3" t="s">
        <v>395</v>
      </c>
      <c r="C22" s="3" t="s">
        <v>542</v>
      </c>
      <c r="D22" s="3" t="s">
        <v>537</v>
      </c>
      <c r="E22" s="3" t="s">
        <v>363</v>
      </c>
      <c r="F22" s="3">
        <v>8</v>
      </c>
      <c r="G22" s="3" t="s">
        <v>358</v>
      </c>
      <c r="H22" s="3" t="s">
        <v>359</v>
      </c>
      <c r="I22" s="11">
        <v>10</v>
      </c>
    </row>
    <row r="23" spans="1:9" x14ac:dyDescent="0.3">
      <c r="A23" s="6" t="s">
        <v>215</v>
      </c>
      <c r="B23" s="6" t="s">
        <v>396</v>
      </c>
      <c r="C23" s="6" t="s">
        <v>66</v>
      </c>
      <c r="D23" s="6" t="s">
        <v>380</v>
      </c>
      <c r="E23" s="6" t="s">
        <v>378</v>
      </c>
      <c r="F23" s="6">
        <v>8</v>
      </c>
      <c r="G23" s="6" t="s">
        <v>358</v>
      </c>
      <c r="H23" s="6" t="s">
        <v>359</v>
      </c>
      <c r="I23" s="11">
        <v>10</v>
      </c>
    </row>
    <row r="24" spans="1:9" x14ac:dyDescent="0.3">
      <c r="A24" s="5" t="s">
        <v>283</v>
      </c>
      <c r="B24" s="5" t="s">
        <v>397</v>
      </c>
      <c r="C24" s="5" t="s">
        <v>16</v>
      </c>
      <c r="D24" s="5" t="s">
        <v>380</v>
      </c>
      <c r="E24" s="5" t="s">
        <v>363</v>
      </c>
      <c r="F24" s="5"/>
      <c r="G24" s="5" t="s">
        <v>358</v>
      </c>
      <c r="H24" s="5" t="s">
        <v>368</v>
      </c>
      <c r="I24" s="11">
        <v>10</v>
      </c>
    </row>
    <row r="25" spans="1:9" x14ac:dyDescent="0.3">
      <c r="A25" s="5" t="s">
        <v>241</v>
      </c>
      <c r="B25" s="5" t="s">
        <v>398</v>
      </c>
      <c r="C25" s="5" t="s">
        <v>16</v>
      </c>
      <c r="D25" s="5" t="s">
        <v>365</v>
      </c>
      <c r="E25" s="5" t="s">
        <v>357</v>
      </c>
      <c r="F25" s="5">
        <v>24</v>
      </c>
      <c r="G25" s="5" t="s">
        <v>367</v>
      </c>
      <c r="H25" s="5" t="s">
        <v>359</v>
      </c>
      <c r="I25" s="11">
        <v>8</v>
      </c>
    </row>
    <row r="26" spans="1:9" x14ac:dyDescent="0.3">
      <c r="A26" s="5"/>
      <c r="B26" s="5"/>
      <c r="C26" s="5"/>
      <c r="D26" s="5"/>
      <c r="E26" s="5"/>
      <c r="F26" s="5"/>
      <c r="G26" s="5"/>
      <c r="H26" s="5"/>
      <c r="I26" s="11" t="s">
        <v>557</v>
      </c>
    </row>
    <row r="27" spans="1:9" x14ac:dyDescent="0.3">
      <c r="A27" s="5" t="s">
        <v>305</v>
      </c>
      <c r="B27" s="5" t="s">
        <v>399</v>
      </c>
      <c r="C27" s="5" t="s">
        <v>198</v>
      </c>
      <c r="D27" s="5" t="s">
        <v>356</v>
      </c>
      <c r="E27" s="5" t="s">
        <v>381</v>
      </c>
      <c r="F27" s="5">
        <v>6</v>
      </c>
      <c r="G27" s="5" t="s">
        <v>367</v>
      </c>
      <c r="H27" s="5" t="s">
        <v>368</v>
      </c>
      <c r="I27" s="11">
        <v>10</v>
      </c>
    </row>
    <row r="28" spans="1:9" x14ac:dyDescent="0.3">
      <c r="A28" s="5" t="s">
        <v>49</v>
      </c>
      <c r="B28" s="5" t="s">
        <v>400</v>
      </c>
      <c r="C28" s="5" t="s">
        <v>543</v>
      </c>
      <c r="D28" s="5" t="s">
        <v>365</v>
      </c>
      <c r="E28" s="5" t="s">
        <v>363</v>
      </c>
      <c r="F28" s="5">
        <v>17</v>
      </c>
      <c r="G28" s="5" t="s">
        <v>367</v>
      </c>
      <c r="H28" s="5" t="s">
        <v>368</v>
      </c>
      <c r="I28" s="11">
        <v>8</v>
      </c>
    </row>
    <row r="29" spans="1:9" x14ac:dyDescent="0.3">
      <c r="A29" s="5" t="s">
        <v>326</v>
      </c>
      <c r="B29" s="5" t="s">
        <v>401</v>
      </c>
      <c r="C29" s="5" t="s">
        <v>46</v>
      </c>
      <c r="D29" s="5" t="s">
        <v>362</v>
      </c>
      <c r="E29" s="5" t="s">
        <v>363</v>
      </c>
      <c r="F29" s="5">
        <v>14</v>
      </c>
      <c r="G29" s="5" t="s">
        <v>358</v>
      </c>
      <c r="H29" s="5" t="s">
        <v>371</v>
      </c>
      <c r="I29" s="11">
        <v>10</v>
      </c>
    </row>
    <row r="30" spans="1:9" x14ac:dyDescent="0.3">
      <c r="A30" s="6" t="s">
        <v>154</v>
      </c>
      <c r="B30" s="6" t="s">
        <v>528</v>
      </c>
      <c r="C30" s="6" t="s">
        <v>16</v>
      </c>
      <c r="D30" s="6" t="s">
        <v>356</v>
      </c>
      <c r="E30" s="6" t="s">
        <v>366</v>
      </c>
      <c r="F30" s="6">
        <v>14</v>
      </c>
      <c r="G30" s="6" t="s">
        <v>367</v>
      </c>
      <c r="H30" s="6" t="s">
        <v>368</v>
      </c>
      <c r="I30" s="11">
        <v>10</v>
      </c>
    </row>
    <row r="31" spans="1:9" x14ac:dyDescent="0.3">
      <c r="A31" s="5" t="s">
        <v>111</v>
      </c>
      <c r="B31" s="5" t="s">
        <v>403</v>
      </c>
      <c r="C31" s="5" t="s">
        <v>164</v>
      </c>
      <c r="D31" s="5" t="s">
        <v>390</v>
      </c>
      <c r="E31" s="5" t="s">
        <v>381</v>
      </c>
      <c r="F31" s="5">
        <v>15</v>
      </c>
      <c r="G31" s="5" t="s">
        <v>358</v>
      </c>
      <c r="H31" s="5" t="s">
        <v>368</v>
      </c>
      <c r="I31" s="11">
        <v>8</v>
      </c>
    </row>
    <row r="32" spans="1:9" x14ac:dyDescent="0.3">
      <c r="A32" s="5" t="s">
        <v>116</v>
      </c>
      <c r="B32" s="5" t="s">
        <v>404</v>
      </c>
      <c r="C32" s="5" t="s">
        <v>164</v>
      </c>
      <c r="D32" s="5" t="s">
        <v>365</v>
      </c>
      <c r="E32" s="5" t="s">
        <v>378</v>
      </c>
      <c r="F32" s="5">
        <v>26</v>
      </c>
      <c r="G32" s="5" t="s">
        <v>358</v>
      </c>
      <c r="H32" s="5" t="s">
        <v>359</v>
      </c>
      <c r="I32" s="11">
        <v>8</v>
      </c>
    </row>
    <row r="33" spans="1:9" x14ac:dyDescent="0.3">
      <c r="A33" s="5" t="s">
        <v>57</v>
      </c>
      <c r="B33" s="5" t="s">
        <v>405</v>
      </c>
      <c r="C33" s="5" t="s">
        <v>114</v>
      </c>
      <c r="D33" s="5" t="s">
        <v>365</v>
      </c>
      <c r="E33" s="5" t="s">
        <v>375</v>
      </c>
      <c r="F33" s="5">
        <v>19</v>
      </c>
      <c r="G33" s="5" t="s">
        <v>358</v>
      </c>
      <c r="H33" s="5" t="s">
        <v>368</v>
      </c>
      <c r="I33" s="11">
        <v>8</v>
      </c>
    </row>
    <row r="34" spans="1:9" x14ac:dyDescent="0.3">
      <c r="A34" s="6" t="s">
        <v>184</v>
      </c>
      <c r="B34" s="6" t="s">
        <v>529</v>
      </c>
      <c r="C34" s="6" t="s">
        <v>114</v>
      </c>
      <c r="D34" s="6" t="s">
        <v>356</v>
      </c>
      <c r="E34" s="6" t="s">
        <v>363</v>
      </c>
      <c r="F34" s="6">
        <v>21</v>
      </c>
      <c r="G34" s="6" t="s">
        <v>358</v>
      </c>
      <c r="H34" s="6" t="s">
        <v>371</v>
      </c>
      <c r="I34" s="11">
        <v>10</v>
      </c>
    </row>
    <row r="35" spans="1:9" x14ac:dyDescent="0.3">
      <c r="A35" s="3" t="s">
        <v>407</v>
      </c>
      <c r="B35" s="3" t="s">
        <v>408</v>
      </c>
      <c r="C35" s="3" t="s">
        <v>46</v>
      </c>
      <c r="D35" s="3" t="s">
        <v>356</v>
      </c>
      <c r="E35" s="3" t="s">
        <v>357</v>
      </c>
      <c r="F35" s="3">
        <v>20</v>
      </c>
      <c r="G35" s="3" t="s">
        <v>367</v>
      </c>
      <c r="H35" s="3" t="s">
        <v>368</v>
      </c>
      <c r="I35" s="11">
        <v>10</v>
      </c>
    </row>
    <row r="36" spans="1:9" x14ac:dyDescent="0.3">
      <c r="A36" s="5" t="s">
        <v>139</v>
      </c>
      <c r="B36" s="5" t="s">
        <v>409</v>
      </c>
      <c r="C36" s="5" t="s">
        <v>114</v>
      </c>
      <c r="D36" s="5" t="s">
        <v>365</v>
      </c>
      <c r="E36" s="5" t="s">
        <v>381</v>
      </c>
      <c r="F36" s="5">
        <v>3</v>
      </c>
      <c r="G36" s="5" t="s">
        <v>358</v>
      </c>
      <c r="H36" s="5" t="s">
        <v>371</v>
      </c>
      <c r="I36" s="11">
        <v>8</v>
      </c>
    </row>
    <row r="37" spans="1:9" x14ac:dyDescent="0.3">
      <c r="A37" s="5" t="s">
        <v>195</v>
      </c>
      <c r="B37" s="5" t="s">
        <v>410</v>
      </c>
      <c r="C37" s="5" t="s">
        <v>38</v>
      </c>
      <c r="D37" s="5" t="s">
        <v>390</v>
      </c>
      <c r="E37" s="5" t="s">
        <v>375</v>
      </c>
      <c r="F37" s="5">
        <v>1</v>
      </c>
      <c r="G37" s="5" t="s">
        <v>367</v>
      </c>
      <c r="H37" s="5" t="s">
        <v>371</v>
      </c>
      <c r="I37" s="11">
        <v>10</v>
      </c>
    </row>
    <row r="38" spans="1:9" x14ac:dyDescent="0.3">
      <c r="A38" s="6" t="s">
        <v>202</v>
      </c>
      <c r="B38" s="6" t="s">
        <v>411</v>
      </c>
      <c r="C38" s="6" t="s">
        <v>545</v>
      </c>
      <c r="D38" s="6" t="s">
        <v>380</v>
      </c>
      <c r="E38" s="6" t="s">
        <v>375</v>
      </c>
      <c r="F38" s="6">
        <v>25</v>
      </c>
      <c r="G38" s="6" t="s">
        <v>367</v>
      </c>
      <c r="H38" s="6" t="s">
        <v>368</v>
      </c>
      <c r="I38" s="11">
        <v>10</v>
      </c>
    </row>
    <row r="39" spans="1:9" x14ac:dyDescent="0.3">
      <c r="A39" s="6"/>
      <c r="B39" s="6"/>
      <c r="C39" s="6"/>
      <c r="D39" s="6"/>
      <c r="E39" s="6"/>
      <c r="F39" s="6"/>
      <c r="G39" s="6"/>
      <c r="H39" s="6"/>
      <c r="I39" s="11" t="s">
        <v>557</v>
      </c>
    </row>
    <row r="40" spans="1:9" x14ac:dyDescent="0.3">
      <c r="A40" s="3" t="s">
        <v>103</v>
      </c>
      <c r="B40" s="3" t="s">
        <v>412</v>
      </c>
      <c r="C40" s="3" t="s">
        <v>38</v>
      </c>
      <c r="D40" s="3" t="s">
        <v>390</v>
      </c>
      <c r="E40" s="3" t="s">
        <v>375</v>
      </c>
      <c r="F40" s="3">
        <v>17</v>
      </c>
      <c r="G40" s="3" t="s">
        <v>367</v>
      </c>
      <c r="H40" s="3" t="s">
        <v>359</v>
      </c>
      <c r="I40" s="11">
        <v>10</v>
      </c>
    </row>
    <row r="41" spans="1:9" x14ac:dyDescent="0.3">
      <c r="A41" s="5" t="s">
        <v>69</v>
      </c>
      <c r="B41" s="5" t="s">
        <v>413</v>
      </c>
      <c r="C41" s="5" t="s">
        <v>46</v>
      </c>
      <c r="D41" s="5" t="s">
        <v>362</v>
      </c>
      <c r="E41" s="5" t="s">
        <v>363</v>
      </c>
      <c r="F41" s="5">
        <v>7</v>
      </c>
      <c r="G41" s="5" t="s">
        <v>367</v>
      </c>
      <c r="H41" s="5" t="s">
        <v>371</v>
      </c>
      <c r="I41" s="11">
        <v>10</v>
      </c>
    </row>
    <row r="42" spans="1:9" x14ac:dyDescent="0.3">
      <c r="A42" s="5" t="s">
        <v>75</v>
      </c>
      <c r="B42" s="5" t="s">
        <v>414</v>
      </c>
      <c r="C42" s="5" t="s">
        <v>38</v>
      </c>
      <c r="D42" s="5" t="s">
        <v>390</v>
      </c>
      <c r="E42" s="5" t="s">
        <v>381</v>
      </c>
      <c r="F42" s="5">
        <v>20</v>
      </c>
      <c r="G42" s="5" t="s">
        <v>367</v>
      </c>
      <c r="H42" s="5" t="s">
        <v>359</v>
      </c>
      <c r="I42" s="11">
        <v>10</v>
      </c>
    </row>
    <row r="43" spans="1:9" x14ac:dyDescent="0.3">
      <c r="A43" s="5" t="s">
        <v>301</v>
      </c>
      <c r="B43" s="5" t="s">
        <v>415</v>
      </c>
      <c r="C43" s="5" t="s">
        <v>164</v>
      </c>
      <c r="D43" s="5" t="s">
        <v>380</v>
      </c>
      <c r="E43" s="5" t="s">
        <v>381</v>
      </c>
      <c r="F43" s="5">
        <v>1</v>
      </c>
      <c r="G43" s="5" t="s">
        <v>358</v>
      </c>
      <c r="H43" s="5" t="s">
        <v>359</v>
      </c>
      <c r="I43" s="11">
        <v>10</v>
      </c>
    </row>
    <row r="44" spans="1:9" x14ac:dyDescent="0.3">
      <c r="A44" s="5" t="s">
        <v>286</v>
      </c>
      <c r="B44" s="5" t="s">
        <v>403</v>
      </c>
      <c r="C44" s="5" t="s">
        <v>546</v>
      </c>
      <c r="D44" s="5" t="s">
        <v>362</v>
      </c>
      <c r="E44" s="5" t="s">
        <v>357</v>
      </c>
      <c r="F44" s="5">
        <v>15</v>
      </c>
      <c r="G44" s="5" t="s">
        <v>367</v>
      </c>
      <c r="H44" s="5" t="s">
        <v>368</v>
      </c>
      <c r="I44" s="11">
        <v>10</v>
      </c>
    </row>
    <row r="45" spans="1:9" x14ac:dyDescent="0.3">
      <c r="A45" s="5" t="s">
        <v>251</v>
      </c>
      <c r="B45" s="5" t="s">
        <v>416</v>
      </c>
      <c r="C45" s="5" t="s">
        <v>114</v>
      </c>
      <c r="D45" s="5" t="s">
        <v>526</v>
      </c>
      <c r="E45" s="5" t="s">
        <v>357</v>
      </c>
      <c r="F45" s="5">
        <v>25</v>
      </c>
      <c r="G45" s="5" t="s">
        <v>367</v>
      </c>
      <c r="H45" s="5" t="s">
        <v>368</v>
      </c>
      <c r="I45" s="11">
        <v>10</v>
      </c>
    </row>
    <row r="46" spans="1:9" x14ac:dyDescent="0.3">
      <c r="A46" s="5" t="s">
        <v>31</v>
      </c>
      <c r="B46" s="5" t="s">
        <v>530</v>
      </c>
      <c r="C46" s="5" t="s">
        <v>38</v>
      </c>
      <c r="D46" s="5" t="s">
        <v>362</v>
      </c>
      <c r="E46" s="5" t="s">
        <v>366</v>
      </c>
      <c r="F46" s="5">
        <v>10</v>
      </c>
      <c r="G46" s="5" t="s">
        <v>358</v>
      </c>
      <c r="H46" s="5" t="s">
        <v>371</v>
      </c>
      <c r="I46" s="11">
        <v>10</v>
      </c>
    </row>
    <row r="47" spans="1:9" x14ac:dyDescent="0.3">
      <c r="A47" s="6" t="s">
        <v>418</v>
      </c>
      <c r="B47" s="6" t="s">
        <v>410</v>
      </c>
      <c r="C47" s="6" t="s">
        <v>38</v>
      </c>
      <c r="D47" s="6" t="s">
        <v>356</v>
      </c>
      <c r="E47" s="6" t="s">
        <v>378</v>
      </c>
      <c r="F47" s="6">
        <v>15</v>
      </c>
      <c r="G47" s="6" t="s">
        <v>358</v>
      </c>
      <c r="H47" s="6" t="s">
        <v>371</v>
      </c>
      <c r="I47" s="11">
        <v>10</v>
      </c>
    </row>
    <row r="48" spans="1:9" x14ac:dyDescent="0.3">
      <c r="A48" s="5" t="s">
        <v>293</v>
      </c>
      <c r="B48" s="5" t="s">
        <v>419</v>
      </c>
      <c r="C48" s="5" t="s">
        <v>114</v>
      </c>
      <c r="D48" s="5" t="s">
        <v>362</v>
      </c>
      <c r="E48" s="5" t="s">
        <v>366</v>
      </c>
      <c r="F48" s="5">
        <v>10</v>
      </c>
      <c r="G48" s="5" t="s">
        <v>358</v>
      </c>
      <c r="H48" s="5" t="s">
        <v>371</v>
      </c>
      <c r="I48" s="11">
        <v>10</v>
      </c>
    </row>
    <row r="49" spans="1:9" x14ac:dyDescent="0.3">
      <c r="A49" s="5" t="s">
        <v>420</v>
      </c>
      <c r="B49" s="5" t="s">
        <v>421</v>
      </c>
      <c r="C49" s="5" t="s">
        <v>46</v>
      </c>
      <c r="D49" s="5" t="s">
        <v>365</v>
      </c>
      <c r="E49" s="5" t="s">
        <v>375</v>
      </c>
      <c r="F49" s="5">
        <v>12</v>
      </c>
      <c r="G49" s="5" t="s">
        <v>367</v>
      </c>
      <c r="H49" s="5" t="s">
        <v>368</v>
      </c>
      <c r="I49" s="11">
        <v>8</v>
      </c>
    </row>
    <row r="50" spans="1:9" x14ac:dyDescent="0.3">
      <c r="A50" s="3" t="s">
        <v>422</v>
      </c>
      <c r="B50" s="3" t="s">
        <v>423</v>
      </c>
      <c r="C50" s="3" t="s">
        <v>198</v>
      </c>
      <c r="D50" s="3" t="s">
        <v>380</v>
      </c>
      <c r="E50" s="3" t="s">
        <v>363</v>
      </c>
      <c r="F50" s="3">
        <v>27</v>
      </c>
      <c r="G50" s="3" t="s">
        <v>358</v>
      </c>
      <c r="H50" s="3" t="s">
        <v>371</v>
      </c>
      <c r="I50" s="11">
        <v>10</v>
      </c>
    </row>
    <row r="51" spans="1:9" x14ac:dyDescent="0.3">
      <c r="A51" s="6" t="s">
        <v>93</v>
      </c>
      <c r="B51" s="6" t="s">
        <v>419</v>
      </c>
      <c r="C51" s="6" t="s">
        <v>164</v>
      </c>
      <c r="D51" s="6" t="s">
        <v>380</v>
      </c>
      <c r="E51" s="6" t="s">
        <v>366</v>
      </c>
      <c r="F51" s="6">
        <v>2</v>
      </c>
      <c r="G51" s="6" t="s">
        <v>358</v>
      </c>
      <c r="H51" s="6" t="s">
        <v>359</v>
      </c>
      <c r="I51" s="11">
        <v>10</v>
      </c>
    </row>
    <row r="52" spans="1:9" x14ac:dyDescent="0.3">
      <c r="A52" s="5" t="s">
        <v>19</v>
      </c>
      <c r="B52" s="5" t="s">
        <v>424</v>
      </c>
      <c r="C52" s="5" t="s">
        <v>114</v>
      </c>
      <c r="D52" s="5" t="s">
        <v>390</v>
      </c>
      <c r="E52" s="5" t="s">
        <v>375</v>
      </c>
      <c r="F52" s="5">
        <v>20</v>
      </c>
      <c r="G52" s="5" t="s">
        <v>358</v>
      </c>
      <c r="H52" s="5" t="s">
        <v>371</v>
      </c>
      <c r="I52" s="11">
        <v>10</v>
      </c>
    </row>
    <row r="53" spans="1:9" x14ac:dyDescent="0.3">
      <c r="A53" s="5" t="s">
        <v>41</v>
      </c>
      <c r="B53" s="5" t="s">
        <v>531</v>
      </c>
      <c r="C53" s="5" t="s">
        <v>66</v>
      </c>
      <c r="D53" s="5" t="s">
        <v>365</v>
      </c>
      <c r="E53" s="5" t="s">
        <v>363</v>
      </c>
      <c r="F53" s="5">
        <v>22</v>
      </c>
      <c r="G53" s="5" t="s">
        <v>358</v>
      </c>
      <c r="H53" s="5" t="s">
        <v>368</v>
      </c>
      <c r="I53" s="11">
        <v>8</v>
      </c>
    </row>
    <row r="54" spans="1:9" x14ac:dyDescent="0.3">
      <c r="A54" s="5" t="s">
        <v>150</v>
      </c>
      <c r="B54" s="5" t="s">
        <v>426</v>
      </c>
      <c r="C54" s="5" t="s">
        <v>198</v>
      </c>
      <c r="D54" s="5" t="s">
        <v>390</v>
      </c>
      <c r="E54" s="5" t="s">
        <v>378</v>
      </c>
      <c r="F54" s="5">
        <v>21</v>
      </c>
      <c r="G54" s="5" t="s">
        <v>367</v>
      </c>
      <c r="H54" s="5" t="s">
        <v>371</v>
      </c>
      <c r="I54" s="11">
        <v>10</v>
      </c>
    </row>
    <row r="55" spans="1:9" x14ac:dyDescent="0.3">
      <c r="A55" s="5" t="s">
        <v>427</v>
      </c>
      <c r="B55" s="5" t="s">
        <v>428</v>
      </c>
      <c r="C55" s="5" t="s">
        <v>198</v>
      </c>
      <c r="D55" s="5" t="s">
        <v>365</v>
      </c>
      <c r="E55" s="5" t="s">
        <v>375</v>
      </c>
      <c r="F55" s="5">
        <v>5</v>
      </c>
      <c r="G55" s="5" t="s">
        <v>358</v>
      </c>
      <c r="H55" s="5" t="s">
        <v>371</v>
      </c>
      <c r="I55" s="11">
        <v>8</v>
      </c>
    </row>
    <row r="56" spans="1:9" x14ac:dyDescent="0.3">
      <c r="A56" s="5" t="s">
        <v>429</v>
      </c>
      <c r="B56" s="5" t="s">
        <v>430</v>
      </c>
      <c r="C56" s="5" t="s">
        <v>28</v>
      </c>
      <c r="D56" s="5" t="s">
        <v>380</v>
      </c>
      <c r="E56" s="5"/>
      <c r="F56" s="5">
        <v>22</v>
      </c>
      <c r="G56" s="5" t="s">
        <v>358</v>
      </c>
      <c r="H56" s="5" t="s">
        <v>371</v>
      </c>
      <c r="I56" s="11">
        <v>10</v>
      </c>
    </row>
    <row r="57" spans="1:9" x14ac:dyDescent="0.3">
      <c r="A57" s="6" t="s">
        <v>431</v>
      </c>
      <c r="B57" s="6" t="s">
        <v>432</v>
      </c>
      <c r="C57" s="6" t="s">
        <v>46</v>
      </c>
      <c r="D57" s="6" t="s">
        <v>380</v>
      </c>
      <c r="E57" s="6" t="s">
        <v>375</v>
      </c>
      <c r="F57" s="6">
        <v>7</v>
      </c>
      <c r="G57" s="6" t="s">
        <v>358</v>
      </c>
      <c r="H57" s="6" t="s">
        <v>368</v>
      </c>
      <c r="I57" s="11">
        <v>10</v>
      </c>
    </row>
    <row r="58" spans="1:9" x14ac:dyDescent="0.3">
      <c r="A58" s="5" t="s">
        <v>433</v>
      </c>
      <c r="B58" s="5" t="s">
        <v>434</v>
      </c>
      <c r="C58" s="5" t="s">
        <v>198</v>
      </c>
      <c r="D58" s="5" t="s">
        <v>365</v>
      </c>
      <c r="E58" s="5" t="s">
        <v>375</v>
      </c>
      <c r="F58" s="5">
        <v>12</v>
      </c>
      <c r="G58" s="5" t="s">
        <v>358</v>
      </c>
      <c r="H58" s="5" t="s">
        <v>368</v>
      </c>
      <c r="I58" s="11">
        <v>8</v>
      </c>
    </row>
    <row r="59" spans="1:9" x14ac:dyDescent="0.3">
      <c r="A59" s="5" t="s">
        <v>435</v>
      </c>
      <c r="B59" s="5" t="s">
        <v>532</v>
      </c>
      <c r="C59" s="5" t="s">
        <v>66</v>
      </c>
      <c r="D59" s="5" t="s">
        <v>365</v>
      </c>
      <c r="E59" s="5" t="s">
        <v>381</v>
      </c>
      <c r="F59" s="5">
        <v>3</v>
      </c>
      <c r="G59" s="5" t="s">
        <v>367</v>
      </c>
      <c r="H59" s="5" t="s">
        <v>359</v>
      </c>
      <c r="I59" s="11">
        <v>8</v>
      </c>
    </row>
    <row r="60" spans="1:9" x14ac:dyDescent="0.3">
      <c r="A60" s="3" t="s">
        <v>437</v>
      </c>
      <c r="B60" s="3" t="s">
        <v>395</v>
      </c>
      <c r="C60" s="3" t="s">
        <v>547</v>
      </c>
      <c r="D60" s="3" t="s">
        <v>538</v>
      </c>
      <c r="E60" s="3" t="s">
        <v>366</v>
      </c>
      <c r="F60" s="3">
        <v>20</v>
      </c>
      <c r="G60" s="3" t="s">
        <v>367</v>
      </c>
      <c r="H60" s="3" t="s">
        <v>371</v>
      </c>
      <c r="I60" s="11">
        <v>10</v>
      </c>
    </row>
    <row r="61" spans="1:9" x14ac:dyDescent="0.3">
      <c r="A61" s="6" t="s">
        <v>438</v>
      </c>
      <c r="B61" s="6" t="s">
        <v>439</v>
      </c>
      <c r="C61" s="6" t="s">
        <v>114</v>
      </c>
      <c r="D61" s="6" t="s">
        <v>356</v>
      </c>
      <c r="E61" s="6" t="s">
        <v>366</v>
      </c>
      <c r="F61" s="6"/>
      <c r="G61" s="6" t="s">
        <v>358</v>
      </c>
      <c r="H61" s="6" t="s">
        <v>368</v>
      </c>
      <c r="I61" s="11">
        <v>10</v>
      </c>
    </row>
    <row r="62" spans="1:9" x14ac:dyDescent="0.3">
      <c r="A62" s="5" t="s">
        <v>440</v>
      </c>
      <c r="B62" s="5" t="s">
        <v>441</v>
      </c>
      <c r="C62" s="5" t="s">
        <v>46</v>
      </c>
      <c r="D62" s="5" t="s">
        <v>362</v>
      </c>
      <c r="E62" s="5" t="s">
        <v>366</v>
      </c>
      <c r="F62" s="5">
        <v>21</v>
      </c>
      <c r="G62" s="5" t="s">
        <v>367</v>
      </c>
      <c r="H62" s="5" t="s">
        <v>368</v>
      </c>
      <c r="I62" s="11">
        <v>10</v>
      </c>
    </row>
    <row r="63" spans="1:9" x14ac:dyDescent="0.3">
      <c r="A63" s="6" t="s">
        <v>442</v>
      </c>
      <c r="B63" s="6" t="s">
        <v>443</v>
      </c>
      <c r="C63" s="6" t="s">
        <v>164</v>
      </c>
      <c r="D63" s="6" t="s">
        <v>356</v>
      </c>
      <c r="E63" s="6" t="s">
        <v>357</v>
      </c>
      <c r="F63" s="6">
        <v>30</v>
      </c>
      <c r="G63" s="6" t="s">
        <v>367</v>
      </c>
      <c r="H63" s="6" t="s">
        <v>368</v>
      </c>
      <c r="I63" s="11">
        <v>10</v>
      </c>
    </row>
    <row r="64" spans="1:9" x14ac:dyDescent="0.3">
      <c r="A64" s="3" t="s">
        <v>444</v>
      </c>
      <c r="B64" s="3" t="s">
        <v>524</v>
      </c>
      <c r="C64" s="3" t="s">
        <v>198</v>
      </c>
      <c r="D64" s="3" t="s">
        <v>390</v>
      </c>
      <c r="E64" s="3" t="s">
        <v>378</v>
      </c>
      <c r="F64" s="3">
        <v>15</v>
      </c>
      <c r="G64" s="3" t="s">
        <v>367</v>
      </c>
      <c r="H64" s="3" t="s">
        <v>371</v>
      </c>
      <c r="I64" s="11">
        <v>10</v>
      </c>
    </row>
    <row r="65" spans="1:9" x14ac:dyDescent="0.3">
      <c r="A65" s="5" t="s">
        <v>445</v>
      </c>
      <c r="B65" s="5" t="s">
        <v>430</v>
      </c>
      <c r="C65" s="5" t="s">
        <v>66</v>
      </c>
      <c r="D65" s="5" t="s">
        <v>365</v>
      </c>
      <c r="E65" s="5" t="s">
        <v>363</v>
      </c>
      <c r="F65" s="5">
        <v>19</v>
      </c>
      <c r="G65" s="5" t="s">
        <v>358</v>
      </c>
      <c r="H65" s="5" t="s">
        <v>371</v>
      </c>
      <c r="I65" s="11">
        <v>8</v>
      </c>
    </row>
    <row r="66" spans="1:9" x14ac:dyDescent="0.3">
      <c r="A66" s="5"/>
      <c r="B66" s="5"/>
      <c r="C66" s="5"/>
      <c r="D66" s="5"/>
      <c r="E66" s="5"/>
      <c r="F66" s="5"/>
      <c r="G66" s="5"/>
      <c r="H66" s="5"/>
      <c r="I66" s="11" t="s">
        <v>557</v>
      </c>
    </row>
    <row r="67" spans="1:9" x14ac:dyDescent="0.3">
      <c r="A67" s="3" t="s">
        <v>446</v>
      </c>
      <c r="B67" s="3" t="s">
        <v>447</v>
      </c>
      <c r="C67" s="3" t="s">
        <v>16</v>
      </c>
      <c r="D67" s="3" t="s">
        <v>390</v>
      </c>
      <c r="E67" s="3" t="s">
        <v>357</v>
      </c>
      <c r="F67" s="3"/>
      <c r="G67" s="3" t="s">
        <v>367</v>
      </c>
      <c r="H67" s="3" t="s">
        <v>368</v>
      </c>
      <c r="I67" s="11">
        <v>10</v>
      </c>
    </row>
    <row r="68" spans="1:9" x14ac:dyDescent="0.3">
      <c r="A68" s="6" t="s">
        <v>448</v>
      </c>
      <c r="B68" s="6" t="s">
        <v>449</v>
      </c>
      <c r="C68" s="6" t="s">
        <v>66</v>
      </c>
      <c r="D68" s="6" t="s">
        <v>365</v>
      </c>
      <c r="E68" s="6" t="s">
        <v>381</v>
      </c>
      <c r="F68" s="6">
        <v>12</v>
      </c>
      <c r="G68" s="6" t="s">
        <v>358</v>
      </c>
      <c r="H68" s="6" t="s">
        <v>359</v>
      </c>
      <c r="I68" s="11">
        <v>8</v>
      </c>
    </row>
    <row r="69" spans="1:9" x14ac:dyDescent="0.3">
      <c r="A69" s="3" t="s">
        <v>450</v>
      </c>
      <c r="B69" s="3" t="s">
        <v>451</v>
      </c>
      <c r="C69" s="3" t="s">
        <v>46</v>
      </c>
      <c r="D69" s="3" t="s">
        <v>365</v>
      </c>
      <c r="E69" s="3" t="s">
        <v>378</v>
      </c>
      <c r="F69" s="3">
        <v>8</v>
      </c>
      <c r="G69" s="3" t="s">
        <v>358</v>
      </c>
      <c r="H69" s="3" t="s">
        <v>368</v>
      </c>
      <c r="I69" s="11">
        <v>8</v>
      </c>
    </row>
    <row r="70" spans="1:9" x14ac:dyDescent="0.3">
      <c r="A70" s="5" t="s">
        <v>452</v>
      </c>
      <c r="B70" s="5" t="s">
        <v>453</v>
      </c>
      <c r="C70" s="5" t="s">
        <v>28</v>
      </c>
      <c r="D70" s="5" t="s">
        <v>390</v>
      </c>
      <c r="E70" s="5" t="s">
        <v>381</v>
      </c>
      <c r="F70" s="5">
        <v>25</v>
      </c>
      <c r="G70" s="5" t="s">
        <v>367</v>
      </c>
      <c r="H70" s="5" t="s">
        <v>371</v>
      </c>
      <c r="I70" s="11">
        <v>10</v>
      </c>
    </row>
    <row r="71" spans="1:9" x14ac:dyDescent="0.3">
      <c r="A71" s="5" t="s">
        <v>454</v>
      </c>
      <c r="B71" s="5" t="s">
        <v>455</v>
      </c>
      <c r="C71" s="5" t="s">
        <v>28</v>
      </c>
      <c r="D71" s="5" t="s">
        <v>380</v>
      </c>
      <c r="E71" s="5" t="s">
        <v>378</v>
      </c>
      <c r="F71" s="5">
        <v>5</v>
      </c>
      <c r="G71" s="5" t="s">
        <v>367</v>
      </c>
      <c r="H71" s="5" t="s">
        <v>371</v>
      </c>
      <c r="I71" s="11">
        <v>10</v>
      </c>
    </row>
    <row r="72" spans="1:9" x14ac:dyDescent="0.3">
      <c r="A72" s="5" t="s">
        <v>456</v>
      </c>
      <c r="B72" s="5" t="s">
        <v>457</v>
      </c>
      <c r="C72" s="5" t="s">
        <v>198</v>
      </c>
      <c r="D72" s="5" t="s">
        <v>362</v>
      </c>
      <c r="E72" s="5" t="s">
        <v>375</v>
      </c>
      <c r="F72" s="5">
        <v>5</v>
      </c>
      <c r="G72" s="5" t="s">
        <v>358</v>
      </c>
      <c r="H72" s="5" t="s">
        <v>371</v>
      </c>
      <c r="I72" s="11">
        <v>10</v>
      </c>
    </row>
    <row r="73" spans="1:9" x14ac:dyDescent="0.3">
      <c r="A73" s="5" t="s">
        <v>458</v>
      </c>
      <c r="B73" s="5" t="s">
        <v>426</v>
      </c>
      <c r="C73" s="5" t="s">
        <v>548</v>
      </c>
      <c r="D73" s="5" t="s">
        <v>365</v>
      </c>
      <c r="E73" s="5" t="s">
        <v>366</v>
      </c>
      <c r="F73" s="5">
        <v>24</v>
      </c>
      <c r="G73" s="5" t="s">
        <v>358</v>
      </c>
      <c r="H73" s="5" t="s">
        <v>371</v>
      </c>
      <c r="I73" s="11">
        <v>8</v>
      </c>
    </row>
    <row r="74" spans="1:9" x14ac:dyDescent="0.3">
      <c r="A74" s="5" t="s">
        <v>459</v>
      </c>
      <c r="B74" s="5" t="s">
        <v>533</v>
      </c>
      <c r="C74" s="5" t="s">
        <v>198</v>
      </c>
      <c r="D74" s="5" t="s">
        <v>537</v>
      </c>
      <c r="E74" s="5" t="s">
        <v>363</v>
      </c>
      <c r="F74" s="5">
        <v>14</v>
      </c>
      <c r="G74" s="5" t="s">
        <v>358</v>
      </c>
      <c r="H74" s="5" t="s">
        <v>368</v>
      </c>
      <c r="I74" s="11">
        <v>10</v>
      </c>
    </row>
    <row r="75" spans="1:9" x14ac:dyDescent="0.3">
      <c r="A75" s="5" t="s">
        <v>460</v>
      </c>
      <c r="B75" s="5" t="s">
        <v>461</v>
      </c>
      <c r="C75" s="5" t="s">
        <v>38</v>
      </c>
      <c r="D75" s="5" t="s">
        <v>365</v>
      </c>
      <c r="E75" s="5" t="s">
        <v>366</v>
      </c>
      <c r="F75" s="5">
        <v>6</v>
      </c>
      <c r="G75" s="5" t="s">
        <v>367</v>
      </c>
      <c r="H75" s="5" t="s">
        <v>359</v>
      </c>
      <c r="I75" s="11">
        <v>8</v>
      </c>
    </row>
    <row r="76" spans="1:9" x14ac:dyDescent="0.3">
      <c r="A76" s="6" t="s">
        <v>462</v>
      </c>
      <c r="B76" s="6" t="s">
        <v>463</v>
      </c>
      <c r="C76" s="6" t="s">
        <v>164</v>
      </c>
      <c r="D76" s="6" t="s">
        <v>380</v>
      </c>
      <c r="E76" s="6" t="s">
        <v>375</v>
      </c>
      <c r="F76" s="6">
        <v>27</v>
      </c>
      <c r="G76" s="6" t="s">
        <v>358</v>
      </c>
      <c r="H76" s="6" t="s">
        <v>359</v>
      </c>
      <c r="I76" s="11">
        <v>10</v>
      </c>
    </row>
    <row r="77" spans="1:9" x14ac:dyDescent="0.3">
      <c r="A77" s="3" t="s">
        <v>464</v>
      </c>
      <c r="B77" s="3" t="s">
        <v>465</v>
      </c>
      <c r="C77" s="3" t="s">
        <v>164</v>
      </c>
      <c r="D77" s="3" t="s">
        <v>380</v>
      </c>
      <c r="E77" s="3" t="s">
        <v>366</v>
      </c>
      <c r="F77" s="3">
        <v>8</v>
      </c>
      <c r="G77" s="3" t="s">
        <v>358</v>
      </c>
      <c r="H77" s="3" t="s">
        <v>371</v>
      </c>
      <c r="I77" s="11">
        <v>10</v>
      </c>
    </row>
    <row r="78" spans="1:9" x14ac:dyDescent="0.3">
      <c r="A78" s="6" t="s">
        <v>466</v>
      </c>
      <c r="B78" s="6" t="s">
        <v>467</v>
      </c>
      <c r="C78" s="6" t="s">
        <v>549</v>
      </c>
      <c r="D78" s="6" t="s">
        <v>356</v>
      </c>
      <c r="E78" s="6" t="s">
        <v>375</v>
      </c>
      <c r="F78" s="6">
        <v>8</v>
      </c>
      <c r="G78" s="6" t="s">
        <v>367</v>
      </c>
      <c r="H78" s="6" t="s">
        <v>371</v>
      </c>
      <c r="I78" s="11">
        <v>10</v>
      </c>
    </row>
    <row r="79" spans="1:9" x14ac:dyDescent="0.3">
      <c r="A79" s="5" t="s">
        <v>468</v>
      </c>
      <c r="B79" s="5" t="s">
        <v>414</v>
      </c>
      <c r="C79" s="5" t="s">
        <v>114</v>
      </c>
      <c r="D79" s="5" t="s">
        <v>390</v>
      </c>
      <c r="E79" s="5" t="s">
        <v>363</v>
      </c>
      <c r="F79" s="5">
        <v>29</v>
      </c>
      <c r="G79" s="5" t="s">
        <v>358</v>
      </c>
      <c r="H79" s="5" t="s">
        <v>368</v>
      </c>
      <c r="I79" s="11">
        <v>10</v>
      </c>
    </row>
    <row r="80" spans="1:9" x14ac:dyDescent="0.3">
      <c r="A80" s="5" t="s">
        <v>469</v>
      </c>
      <c r="B80" s="5" t="s">
        <v>470</v>
      </c>
      <c r="C80" s="5" t="s">
        <v>164</v>
      </c>
      <c r="D80" s="5" t="s">
        <v>380</v>
      </c>
      <c r="E80" s="5" t="s">
        <v>375</v>
      </c>
      <c r="F80" s="5">
        <v>2</v>
      </c>
      <c r="G80" s="5" t="s">
        <v>358</v>
      </c>
      <c r="H80" s="5" t="s">
        <v>371</v>
      </c>
      <c r="I80" s="11">
        <v>10</v>
      </c>
    </row>
    <row r="81" spans="1:9" x14ac:dyDescent="0.3">
      <c r="A81" s="3" t="s">
        <v>471</v>
      </c>
      <c r="B81" s="3" t="s">
        <v>436</v>
      </c>
      <c r="C81" s="3" t="s">
        <v>164</v>
      </c>
      <c r="D81" s="3" t="s">
        <v>390</v>
      </c>
      <c r="E81" s="3" t="s">
        <v>378</v>
      </c>
      <c r="F81" s="3">
        <v>16</v>
      </c>
      <c r="G81" s="3" t="s">
        <v>358</v>
      </c>
      <c r="H81" s="3" t="s">
        <v>359</v>
      </c>
      <c r="I81" s="11">
        <v>10</v>
      </c>
    </row>
    <row r="82" spans="1:9" x14ac:dyDescent="0.3">
      <c r="A82" s="5" t="s">
        <v>472</v>
      </c>
      <c r="B82" s="5" t="s">
        <v>473</v>
      </c>
      <c r="C82" s="5" t="s">
        <v>38</v>
      </c>
      <c r="D82" s="5" t="s">
        <v>356</v>
      </c>
      <c r="E82" s="5" t="s">
        <v>357</v>
      </c>
      <c r="F82" s="5">
        <v>9</v>
      </c>
      <c r="G82" s="5" t="s">
        <v>358</v>
      </c>
      <c r="H82" s="5" t="s">
        <v>359</v>
      </c>
      <c r="I82" s="11">
        <v>10</v>
      </c>
    </row>
    <row r="83" spans="1:9" x14ac:dyDescent="0.3">
      <c r="A83" s="5" t="s">
        <v>474</v>
      </c>
      <c r="B83" s="5" t="s">
        <v>534</v>
      </c>
      <c r="C83" s="5" t="s">
        <v>164</v>
      </c>
      <c r="D83" s="5" t="s">
        <v>380</v>
      </c>
      <c r="E83" s="5" t="s">
        <v>378</v>
      </c>
      <c r="F83" s="5">
        <v>2</v>
      </c>
      <c r="G83" s="5" t="s">
        <v>367</v>
      </c>
      <c r="H83" s="5" t="s">
        <v>368</v>
      </c>
      <c r="I83" s="11">
        <v>10</v>
      </c>
    </row>
    <row r="84" spans="1:9" x14ac:dyDescent="0.3">
      <c r="A84" s="5" t="s">
        <v>475</v>
      </c>
      <c r="B84" s="5" t="s">
        <v>394</v>
      </c>
      <c r="C84" s="5" t="s">
        <v>66</v>
      </c>
      <c r="D84" s="5" t="s">
        <v>390</v>
      </c>
      <c r="E84" s="5" t="s">
        <v>357</v>
      </c>
      <c r="F84" s="5">
        <v>24</v>
      </c>
      <c r="G84" s="5" t="s">
        <v>367</v>
      </c>
      <c r="H84" s="5" t="s">
        <v>368</v>
      </c>
      <c r="I84" s="11">
        <v>10</v>
      </c>
    </row>
    <row r="85" spans="1:9" x14ac:dyDescent="0.3">
      <c r="A85" s="5" t="s">
        <v>476</v>
      </c>
      <c r="B85" s="5" t="s">
        <v>411</v>
      </c>
      <c r="C85" s="5" t="s">
        <v>198</v>
      </c>
      <c r="D85" s="5" t="s">
        <v>380</v>
      </c>
      <c r="E85" s="5" t="s">
        <v>381</v>
      </c>
      <c r="F85" s="5">
        <v>12</v>
      </c>
      <c r="G85" s="5" t="s">
        <v>358</v>
      </c>
      <c r="H85" s="5" t="s">
        <v>359</v>
      </c>
      <c r="I85" s="11">
        <v>10</v>
      </c>
    </row>
    <row r="86" spans="1:9" x14ac:dyDescent="0.3">
      <c r="A86" s="5" t="s">
        <v>477</v>
      </c>
      <c r="B86" s="5" t="s">
        <v>552</v>
      </c>
      <c r="C86" s="5" t="s">
        <v>28</v>
      </c>
      <c r="D86" s="5" t="s">
        <v>365</v>
      </c>
      <c r="E86" s="5" t="s">
        <v>363</v>
      </c>
      <c r="F86" s="5">
        <v>14</v>
      </c>
      <c r="G86" s="5" t="s">
        <v>367</v>
      </c>
      <c r="H86" s="5" t="s">
        <v>368</v>
      </c>
      <c r="I86" s="11">
        <v>8</v>
      </c>
    </row>
    <row r="87" spans="1:9" x14ac:dyDescent="0.3">
      <c r="A87" s="5" t="s">
        <v>478</v>
      </c>
      <c r="B87" s="5" t="s">
        <v>479</v>
      </c>
      <c r="C87" s="5" t="s">
        <v>28</v>
      </c>
      <c r="D87" s="5" t="s">
        <v>365</v>
      </c>
      <c r="E87" s="5" t="s">
        <v>357</v>
      </c>
      <c r="F87" s="5">
        <v>13</v>
      </c>
      <c r="G87" s="5" t="s">
        <v>358</v>
      </c>
      <c r="H87" s="5" t="s">
        <v>368</v>
      </c>
      <c r="I87" s="11">
        <v>8</v>
      </c>
    </row>
    <row r="88" spans="1:9" x14ac:dyDescent="0.3">
      <c r="A88" s="6" t="s">
        <v>480</v>
      </c>
      <c r="B88" s="6" t="s">
        <v>481</v>
      </c>
      <c r="C88" s="6" t="s">
        <v>114</v>
      </c>
      <c r="D88" s="6" t="s">
        <v>390</v>
      </c>
      <c r="E88" s="6" t="s">
        <v>357</v>
      </c>
      <c r="F88" s="6">
        <v>24</v>
      </c>
      <c r="G88" s="6" t="s">
        <v>367</v>
      </c>
      <c r="H88" s="6" t="s">
        <v>359</v>
      </c>
      <c r="I88" s="11">
        <v>10</v>
      </c>
    </row>
    <row r="89" spans="1:9" x14ac:dyDescent="0.3">
      <c r="A89" s="3" t="s">
        <v>482</v>
      </c>
      <c r="B89" s="3" t="s">
        <v>483</v>
      </c>
      <c r="C89" s="3" t="s">
        <v>38</v>
      </c>
      <c r="D89" s="3" t="s">
        <v>539</v>
      </c>
      <c r="E89" s="3" t="s">
        <v>366</v>
      </c>
      <c r="F89" s="3">
        <v>23</v>
      </c>
      <c r="G89" s="3" t="s">
        <v>358</v>
      </c>
      <c r="H89" s="3" t="s">
        <v>359</v>
      </c>
      <c r="I89" s="11">
        <v>10</v>
      </c>
    </row>
    <row r="90" spans="1:9" x14ac:dyDescent="0.3">
      <c r="A90" s="6" t="s">
        <v>484</v>
      </c>
      <c r="B90" s="6" t="s">
        <v>485</v>
      </c>
      <c r="C90" s="6" t="s">
        <v>549</v>
      </c>
      <c r="D90" s="6" t="s">
        <v>362</v>
      </c>
      <c r="E90" s="6" t="s">
        <v>378</v>
      </c>
      <c r="F90" s="6">
        <v>18</v>
      </c>
      <c r="G90" s="6" t="s">
        <v>358</v>
      </c>
      <c r="H90" s="6" t="s">
        <v>359</v>
      </c>
      <c r="I90" s="11">
        <v>10</v>
      </c>
    </row>
    <row r="91" spans="1:9" x14ac:dyDescent="0.3">
      <c r="A91" s="5" t="s">
        <v>486</v>
      </c>
      <c r="B91" s="5" t="s">
        <v>487</v>
      </c>
      <c r="C91" s="5" t="s">
        <v>16</v>
      </c>
      <c r="D91" s="5" t="s">
        <v>380</v>
      </c>
      <c r="E91" s="5" t="s">
        <v>357</v>
      </c>
      <c r="F91" s="5">
        <v>8</v>
      </c>
      <c r="G91" s="5" t="s">
        <v>358</v>
      </c>
      <c r="H91" s="5" t="s">
        <v>368</v>
      </c>
      <c r="I91" s="11">
        <v>10</v>
      </c>
    </row>
    <row r="92" spans="1:9" x14ac:dyDescent="0.3">
      <c r="A92" s="5"/>
      <c r="B92" s="5"/>
      <c r="C92" s="5"/>
      <c r="D92" s="5"/>
      <c r="E92" s="5"/>
      <c r="F92" s="5"/>
      <c r="G92" s="5"/>
      <c r="H92" s="5"/>
      <c r="I92" s="11" t="s">
        <v>557</v>
      </c>
    </row>
    <row r="93" spans="1:9" x14ac:dyDescent="0.3">
      <c r="A93" s="5" t="s">
        <v>488</v>
      </c>
      <c r="B93" s="5" t="s">
        <v>489</v>
      </c>
      <c r="C93" s="5" t="s">
        <v>28</v>
      </c>
      <c r="D93" s="5" t="s">
        <v>390</v>
      </c>
      <c r="E93" s="5" t="s">
        <v>363</v>
      </c>
      <c r="F93" s="5">
        <v>22</v>
      </c>
      <c r="G93" s="5" t="s">
        <v>367</v>
      </c>
      <c r="H93" s="5" t="s">
        <v>368</v>
      </c>
      <c r="I93" s="11">
        <v>10</v>
      </c>
    </row>
    <row r="94" spans="1:9" x14ac:dyDescent="0.3">
      <c r="A94" s="5" t="s">
        <v>490</v>
      </c>
      <c r="B94" s="5" t="s">
        <v>491</v>
      </c>
      <c r="C94" s="5" t="s">
        <v>66</v>
      </c>
      <c r="D94" s="5" t="s">
        <v>362</v>
      </c>
      <c r="E94" s="5" t="s">
        <v>381</v>
      </c>
      <c r="F94" s="5">
        <v>6</v>
      </c>
      <c r="G94" s="5" t="s">
        <v>367</v>
      </c>
      <c r="H94" s="5" t="s">
        <v>371</v>
      </c>
      <c r="I94" s="11">
        <v>10</v>
      </c>
    </row>
    <row r="95" spans="1:9" x14ac:dyDescent="0.3">
      <c r="A95" s="5" t="s">
        <v>492</v>
      </c>
      <c r="B95" s="5" t="s">
        <v>535</v>
      </c>
      <c r="C95" s="5" t="s">
        <v>198</v>
      </c>
      <c r="D95" s="5" t="s">
        <v>365</v>
      </c>
      <c r="E95" s="5" t="s">
        <v>366</v>
      </c>
      <c r="F95" s="5">
        <v>30</v>
      </c>
      <c r="G95" s="5" t="s">
        <v>367</v>
      </c>
      <c r="H95" s="5" t="s">
        <v>359</v>
      </c>
      <c r="I95" s="11">
        <v>8</v>
      </c>
    </row>
    <row r="96" spans="1:9" x14ac:dyDescent="0.3">
      <c r="A96" s="5" t="s">
        <v>493</v>
      </c>
      <c r="B96" s="5" t="s">
        <v>494</v>
      </c>
      <c r="C96" s="5" t="s">
        <v>38</v>
      </c>
      <c r="D96" s="5" t="s">
        <v>356</v>
      </c>
      <c r="E96" s="5" t="s">
        <v>366</v>
      </c>
      <c r="F96" s="5">
        <v>10</v>
      </c>
      <c r="G96" s="5" t="s">
        <v>358</v>
      </c>
      <c r="H96" s="5" t="s">
        <v>368</v>
      </c>
      <c r="I96" s="11">
        <v>10</v>
      </c>
    </row>
    <row r="97" spans="1:9" x14ac:dyDescent="0.3">
      <c r="A97" s="6" t="s">
        <v>495</v>
      </c>
      <c r="B97" s="6" t="s">
        <v>434</v>
      </c>
      <c r="C97" s="6" t="s">
        <v>16</v>
      </c>
      <c r="D97" s="6" t="s">
        <v>380</v>
      </c>
      <c r="E97" s="6" t="s">
        <v>381</v>
      </c>
      <c r="F97" s="6">
        <v>12</v>
      </c>
      <c r="G97" s="6" t="s">
        <v>358</v>
      </c>
      <c r="H97" s="6" t="s">
        <v>371</v>
      </c>
      <c r="I97" s="11">
        <v>10</v>
      </c>
    </row>
    <row r="98" spans="1:9" x14ac:dyDescent="0.3">
      <c r="A98" s="5" t="s">
        <v>496</v>
      </c>
      <c r="B98" s="5" t="s">
        <v>497</v>
      </c>
      <c r="C98" s="5" t="s">
        <v>46</v>
      </c>
      <c r="D98" s="5" t="s">
        <v>356</v>
      </c>
      <c r="E98" s="5"/>
      <c r="F98" s="5">
        <v>8</v>
      </c>
      <c r="G98" s="5" t="s">
        <v>358</v>
      </c>
      <c r="H98" s="5" t="s">
        <v>359</v>
      </c>
      <c r="I98" s="11">
        <v>10</v>
      </c>
    </row>
    <row r="99" spans="1:9" x14ac:dyDescent="0.3">
      <c r="A99" s="5" t="s">
        <v>498</v>
      </c>
      <c r="B99" s="5" t="s">
        <v>525</v>
      </c>
      <c r="C99" s="5" t="s">
        <v>16</v>
      </c>
      <c r="D99" s="5" t="s">
        <v>362</v>
      </c>
      <c r="E99" s="5" t="s">
        <v>363</v>
      </c>
      <c r="F99" s="5">
        <v>5</v>
      </c>
      <c r="G99" s="5" t="s">
        <v>358</v>
      </c>
      <c r="H99" s="5" t="s">
        <v>368</v>
      </c>
      <c r="I99" s="11">
        <v>10</v>
      </c>
    </row>
    <row r="100" spans="1:9" x14ac:dyDescent="0.3">
      <c r="A100" s="3" t="s">
        <v>499</v>
      </c>
      <c r="B100" s="3" t="s">
        <v>500</v>
      </c>
      <c r="C100" s="3" t="s">
        <v>198</v>
      </c>
      <c r="D100" s="3" t="s">
        <v>365</v>
      </c>
      <c r="E100" s="3" t="s">
        <v>363</v>
      </c>
      <c r="F100" s="3">
        <v>4</v>
      </c>
      <c r="G100" s="3" t="s">
        <v>358</v>
      </c>
      <c r="H100" s="3" t="s">
        <v>359</v>
      </c>
      <c r="I100" s="11">
        <v>8</v>
      </c>
    </row>
    <row r="101" spans="1:9" x14ac:dyDescent="0.3">
      <c r="A101" s="6" t="s">
        <v>501</v>
      </c>
      <c r="B101" s="6" t="s">
        <v>413</v>
      </c>
      <c r="C101" s="6" t="s">
        <v>16</v>
      </c>
      <c r="D101" s="6" t="s">
        <v>380</v>
      </c>
      <c r="E101" s="6" t="s">
        <v>378</v>
      </c>
      <c r="F101" s="6">
        <v>26</v>
      </c>
      <c r="G101" s="6" t="s">
        <v>358</v>
      </c>
      <c r="H101" s="6" t="s">
        <v>359</v>
      </c>
      <c r="I101" s="11">
        <v>10</v>
      </c>
    </row>
    <row r="102" spans="1:9" x14ac:dyDescent="0.3">
      <c r="A102" s="3" t="s">
        <v>502</v>
      </c>
      <c r="B102" s="3" t="s">
        <v>503</v>
      </c>
      <c r="C102" s="3" t="s">
        <v>38</v>
      </c>
      <c r="D102" s="3" t="s">
        <v>356</v>
      </c>
      <c r="E102" s="3" t="s">
        <v>357</v>
      </c>
      <c r="F102" s="3"/>
      <c r="G102" s="3" t="s">
        <v>367</v>
      </c>
      <c r="H102" s="3" t="s">
        <v>359</v>
      </c>
      <c r="I102" s="11">
        <v>10</v>
      </c>
    </row>
    <row r="103" spans="1:9" x14ac:dyDescent="0.3">
      <c r="A103" s="5" t="s">
        <v>504</v>
      </c>
      <c r="B103" s="5" t="s">
        <v>505</v>
      </c>
      <c r="C103" s="5" t="s">
        <v>198</v>
      </c>
      <c r="D103" s="5" t="s">
        <v>362</v>
      </c>
      <c r="E103" s="5" t="s">
        <v>363</v>
      </c>
      <c r="F103" s="5">
        <v>9</v>
      </c>
      <c r="G103" s="5" t="s">
        <v>367</v>
      </c>
      <c r="H103" s="5" t="s">
        <v>368</v>
      </c>
      <c r="I103" s="11">
        <v>10</v>
      </c>
    </row>
    <row r="104" spans="1:9" x14ac:dyDescent="0.3">
      <c r="A104" s="5" t="s">
        <v>506</v>
      </c>
      <c r="B104" s="5" t="s">
        <v>507</v>
      </c>
      <c r="C104" s="5" t="s">
        <v>164</v>
      </c>
      <c r="D104" s="5" t="s">
        <v>365</v>
      </c>
      <c r="E104" s="5" t="s">
        <v>378</v>
      </c>
      <c r="F104" s="5">
        <v>13</v>
      </c>
      <c r="G104" s="5" t="s">
        <v>367</v>
      </c>
      <c r="H104" s="5" t="s">
        <v>368</v>
      </c>
      <c r="I104" s="11">
        <v>8</v>
      </c>
    </row>
    <row r="105" spans="1:9" x14ac:dyDescent="0.3">
      <c r="A105" s="5" t="s">
        <v>508</v>
      </c>
      <c r="B105" s="5" t="s">
        <v>509</v>
      </c>
      <c r="C105" s="5" t="s">
        <v>550</v>
      </c>
      <c r="D105" s="5" t="s">
        <v>540</v>
      </c>
      <c r="E105" s="5" t="s">
        <v>363</v>
      </c>
      <c r="F105" s="5">
        <v>10</v>
      </c>
      <c r="G105" s="5" t="s">
        <v>358</v>
      </c>
      <c r="H105" s="5" t="s">
        <v>368</v>
      </c>
      <c r="I105" s="11">
        <v>10</v>
      </c>
    </row>
    <row r="106" spans="1:9" x14ac:dyDescent="0.3">
      <c r="A106" s="5" t="s">
        <v>510</v>
      </c>
      <c r="B106" s="5" t="s">
        <v>511</v>
      </c>
      <c r="C106" s="5" t="s">
        <v>28</v>
      </c>
      <c r="D106" s="5" t="s">
        <v>380</v>
      </c>
      <c r="E106" s="5"/>
      <c r="F106" s="5">
        <v>6</v>
      </c>
      <c r="G106" s="5" t="s">
        <v>358</v>
      </c>
      <c r="H106" s="5" t="s">
        <v>371</v>
      </c>
      <c r="I106" s="11">
        <v>10</v>
      </c>
    </row>
    <row r="107" spans="1:9" x14ac:dyDescent="0.3">
      <c r="A107" s="5" t="s">
        <v>111</v>
      </c>
      <c r="B107" s="10" t="s">
        <v>536</v>
      </c>
      <c r="C107" s="10" t="s">
        <v>164</v>
      </c>
      <c r="D107" s="10" t="s">
        <v>390</v>
      </c>
      <c r="E107" s="10" t="s">
        <v>381</v>
      </c>
      <c r="F107" s="10">
        <v>15</v>
      </c>
      <c r="G107" s="10" t="s">
        <v>358</v>
      </c>
      <c r="H107" s="10" t="s">
        <v>368</v>
      </c>
      <c r="I107" s="11">
        <v>10</v>
      </c>
    </row>
    <row r="108" spans="1:9" x14ac:dyDescent="0.3">
      <c r="A108" s="5" t="s">
        <v>445</v>
      </c>
      <c r="B108" s="10" t="s">
        <v>430</v>
      </c>
      <c r="C108" s="10" t="s">
        <v>551</v>
      </c>
      <c r="D108" s="10" t="s">
        <v>365</v>
      </c>
      <c r="E108" s="10" t="s">
        <v>363</v>
      </c>
      <c r="F108" s="10">
        <v>19</v>
      </c>
      <c r="G108" s="10" t="s">
        <v>358</v>
      </c>
      <c r="H108" s="10" t="s">
        <v>371</v>
      </c>
      <c r="I108" s="11">
        <v>8</v>
      </c>
    </row>
    <row r="109" spans="1:9" x14ac:dyDescent="0.3">
      <c r="A109" s="5" t="s">
        <v>477</v>
      </c>
      <c r="B109" s="10" t="s">
        <v>424</v>
      </c>
      <c r="C109" s="10" t="s">
        <v>544</v>
      </c>
      <c r="D109" s="10" t="s">
        <v>365</v>
      </c>
      <c r="E109" s="10" t="s">
        <v>363</v>
      </c>
      <c r="F109" s="10">
        <v>14</v>
      </c>
      <c r="G109" s="10" t="s">
        <v>367</v>
      </c>
      <c r="H109" s="10" t="s">
        <v>368</v>
      </c>
      <c r="I109" s="11">
        <v>8</v>
      </c>
    </row>
    <row r="110" spans="1:9" x14ac:dyDescent="0.3">
      <c r="A110" s="5" t="s">
        <v>234</v>
      </c>
      <c r="B110" s="5" t="s">
        <v>373</v>
      </c>
      <c r="C110" s="5" t="s">
        <v>114</v>
      </c>
      <c r="D110" s="5" t="s">
        <v>365</v>
      </c>
      <c r="E110" s="5" t="s">
        <v>357</v>
      </c>
      <c r="F110" s="5">
        <v>15</v>
      </c>
      <c r="G110" s="5" t="s">
        <v>358</v>
      </c>
      <c r="H110" s="5" t="s">
        <v>371</v>
      </c>
      <c r="I110" s="11">
        <v>8</v>
      </c>
    </row>
  </sheetData>
  <mergeCells count="1">
    <mergeCell ref="K6:L7"/>
  </mergeCells>
  <hyperlinks>
    <hyperlink ref="K6" location="Index!A1" display="Index!A1" xr:uid="{3FE9B7A1-DA0F-4F51-989F-445EC2DDB2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5FD63-E8BF-42A1-8823-E8E166840F71}">
  <sheetPr codeName="Sheet7"/>
  <dimension ref="A1:Q51"/>
  <sheetViews>
    <sheetView topLeftCell="D1" workbookViewId="0">
      <selection activeCell="M9" sqref="M9"/>
    </sheetView>
  </sheetViews>
  <sheetFormatPr defaultRowHeight="14.4" x14ac:dyDescent="0.3"/>
  <cols>
    <col min="1" max="1" width="11.109375" customWidth="1"/>
    <col min="2" max="2" width="15.88671875" bestFit="1" customWidth="1"/>
    <col min="3" max="3" width="13" customWidth="1"/>
    <col min="4" max="4" width="17.33203125" bestFit="1" customWidth="1"/>
    <col min="5" max="5" width="13.6640625" bestFit="1" customWidth="1"/>
    <col min="6" max="6" width="14.44140625" style="12" bestFit="1" customWidth="1"/>
    <col min="7" max="7" width="10.6640625" customWidth="1"/>
    <col min="8" max="8" width="15.33203125" customWidth="1"/>
    <col min="9" max="9" width="19.109375" customWidth="1"/>
    <col min="10" max="10" width="18.33203125" bestFit="1" customWidth="1"/>
    <col min="11" max="11" width="15.5546875" bestFit="1" customWidth="1"/>
    <col min="12" max="12" width="13" bestFit="1" customWidth="1"/>
    <col min="13" max="13" width="20" bestFit="1" customWidth="1"/>
    <col min="14" max="14" width="17.33203125" bestFit="1" customWidth="1"/>
  </cols>
  <sheetData>
    <row r="1" spans="1:17" x14ac:dyDescent="0.3">
      <c r="A1" t="s">
        <v>6</v>
      </c>
      <c r="B1" t="s">
        <v>346</v>
      </c>
      <c r="C1" t="s">
        <v>3</v>
      </c>
      <c r="D1" t="s">
        <v>347</v>
      </c>
      <c r="E1" t="s">
        <v>348</v>
      </c>
      <c r="F1" s="12" t="s">
        <v>349</v>
      </c>
      <c r="G1" t="s">
        <v>9</v>
      </c>
      <c r="H1" t="s">
        <v>354</v>
      </c>
      <c r="I1" t="s">
        <v>352</v>
      </c>
      <c r="J1" t="s">
        <v>350</v>
      </c>
      <c r="K1" t="s">
        <v>555</v>
      </c>
      <c r="L1" t="s">
        <v>556</v>
      </c>
      <c r="M1" t="s">
        <v>351</v>
      </c>
      <c r="N1" t="s">
        <v>353</v>
      </c>
    </row>
    <row r="2" spans="1:17" x14ac:dyDescent="0.3">
      <c r="A2" s="7" t="s">
        <v>89</v>
      </c>
      <c r="B2" s="7" t="s">
        <v>355</v>
      </c>
      <c r="C2" s="7" t="s">
        <v>198</v>
      </c>
      <c r="D2" s="7" t="s">
        <v>356</v>
      </c>
      <c r="E2" s="7" t="s">
        <v>357</v>
      </c>
      <c r="F2" s="13">
        <v>5</v>
      </c>
      <c r="G2" s="7" t="s">
        <v>358</v>
      </c>
      <c r="H2" s="7">
        <v>2023</v>
      </c>
      <c r="I2" s="14">
        <v>8</v>
      </c>
      <c r="J2" s="7">
        <f>COUNTIF(Table6[Faculty ID],Table1[[#This Row],[Faculty ID]])</f>
        <v>2</v>
      </c>
      <c r="K2" s="7">
        <f>SUMIF(Table6[Faculty ID],Table1[[#This Row],[Faculty ID]],Table6[Duration (hrs)])</f>
        <v>4</v>
      </c>
      <c r="L2" s="7">
        <f>SUMIFS(Table6[Duration (hrs)],Table6[Faculty ID],Table1[[#This Row],[Faculty ID]],Table6[Is Lab],"Yes")</f>
        <v>4</v>
      </c>
      <c r="M2" s="7">
        <f>Table1[[#This Row],[Theory hrs/wk]]+Table1[[#This Row],[ Lab hrs/wk]]</f>
        <v>8</v>
      </c>
      <c r="N2" s="7" t="str">
        <f>IF(Table1[[#This Row],[Total Contact Hours]]&gt;Table1[[#This Row],[Max Allowed Hours]],"Overloaded",IF(Table1[[#This Row],[Total Contact Hours]]=Table1[[#This Row],[Max Allowed Hours]],"Normal","Underloaded"))</f>
        <v>Normal</v>
      </c>
    </row>
    <row r="3" spans="1:17" x14ac:dyDescent="0.3">
      <c r="A3" s="7" t="s">
        <v>360</v>
      </c>
      <c r="B3" s="7" t="s">
        <v>361</v>
      </c>
      <c r="C3" s="7" t="s">
        <v>198</v>
      </c>
      <c r="D3" s="7" t="s">
        <v>362</v>
      </c>
      <c r="E3" s="7" t="s">
        <v>363</v>
      </c>
      <c r="F3" s="13">
        <v>19</v>
      </c>
      <c r="G3" s="7" t="s">
        <v>358</v>
      </c>
      <c r="H3" s="7">
        <v>2023</v>
      </c>
      <c r="I3" s="15">
        <v>10</v>
      </c>
      <c r="J3" s="7">
        <f>COUNTIF(Table6[Faculty ID],Table1[[#This Row],[Faculty ID]])</f>
        <v>0</v>
      </c>
      <c r="K3" s="7">
        <f>SUMIF(Table6[Faculty ID],Table1[[#This Row],[Faculty ID]],Table6[Duration (hrs)])</f>
        <v>0</v>
      </c>
      <c r="L3" s="7">
        <f>SUMIFS(Table6[Duration (hrs)],Table6[Faculty ID],Table1[[#This Row],[Faculty ID]],Table6[Is Lab],"Yes")</f>
        <v>0</v>
      </c>
      <c r="M3" s="7">
        <f>Table1[[#This Row],[Theory hrs/wk]]+Table1[[#This Row],[ Lab hrs/wk]]</f>
        <v>0</v>
      </c>
      <c r="N3" s="7" t="str">
        <f>IF(Table1[[#This Row],[Total Contact Hours]]&gt;Table1[[#This Row],[Max Allowed Hours]],"Overloaded",IF(Table1[[#This Row],[Total Contact Hours]]=Table1[[#This Row],[Max Allowed Hours]],"Normal","Underloaded"))</f>
        <v>Underloaded</v>
      </c>
    </row>
    <row r="4" spans="1:17" x14ac:dyDescent="0.3">
      <c r="A4" s="7" t="s">
        <v>171</v>
      </c>
      <c r="B4" s="7" t="s">
        <v>364</v>
      </c>
      <c r="C4" s="7" t="s">
        <v>198</v>
      </c>
      <c r="D4" s="7" t="s">
        <v>365</v>
      </c>
      <c r="E4" s="7" t="s">
        <v>366</v>
      </c>
      <c r="F4" s="13">
        <v>14</v>
      </c>
      <c r="G4" s="7" t="s">
        <v>367</v>
      </c>
      <c r="H4" s="7">
        <v>2024</v>
      </c>
      <c r="I4" s="14">
        <v>8</v>
      </c>
      <c r="J4" s="7">
        <f>COUNTIF(Table6[Faculty ID],Table1[[#This Row],[Faculty ID]])</f>
        <v>2</v>
      </c>
      <c r="K4" s="7">
        <f>SUMIF(Table6[Faculty ID],Table1[[#This Row],[Faculty ID]],Table6[Duration (hrs)])</f>
        <v>3</v>
      </c>
      <c r="L4" s="7">
        <f>SUMIFS(Table6[Duration (hrs)],Table6[Faculty ID],Table1[[#This Row],[Faculty ID]],Table6[Is Lab],"Yes")</f>
        <v>2</v>
      </c>
      <c r="M4" s="7">
        <f>Table1[[#This Row],[Theory hrs/wk]]+Table1[[#This Row],[ Lab hrs/wk]]</f>
        <v>5</v>
      </c>
      <c r="N4" s="7" t="str">
        <f>IF(Table1[[#This Row],[Total Contact Hours]]&gt;Table1[[#This Row],[Max Allowed Hours]],"Overloaded",IF(Table1[[#This Row],[Total Contact Hours]]=Table1[[#This Row],[Max Allowed Hours]],"Normal","Underloaded"))</f>
        <v>Underloaded</v>
      </c>
      <c r="O4" t="s">
        <v>554</v>
      </c>
    </row>
    <row r="5" spans="1:17" x14ac:dyDescent="0.3">
      <c r="A5" s="7" t="s">
        <v>369</v>
      </c>
      <c r="B5" s="7" t="s">
        <v>370</v>
      </c>
      <c r="C5" s="7" t="s">
        <v>28</v>
      </c>
      <c r="D5" s="7" t="s">
        <v>365</v>
      </c>
      <c r="E5" s="7" t="s">
        <v>357</v>
      </c>
      <c r="F5" s="13">
        <v>3</v>
      </c>
      <c r="G5" s="7" t="s">
        <v>358</v>
      </c>
      <c r="H5" s="7">
        <v>2025</v>
      </c>
      <c r="I5" s="15">
        <v>8</v>
      </c>
      <c r="J5" s="7">
        <f>COUNTIF(Table6[Faculty ID],Table1[[#This Row],[Faculty ID]])</f>
        <v>1</v>
      </c>
      <c r="K5" s="7">
        <f>SUMIF(Table6[Faculty ID],Table1[[#This Row],[Faculty ID]],Table6[Duration (hrs)])</f>
        <v>1</v>
      </c>
      <c r="L5" s="7">
        <f>SUMIFS(Table6[Duration (hrs)],Table6[Faculty ID],Table1[[#This Row],[Faculty ID]],Table6[Is Lab],"Yes")</f>
        <v>0</v>
      </c>
      <c r="M5" s="7">
        <f>Table1[[#This Row],[Theory hrs/wk]]+Table1[[#This Row],[ Lab hrs/wk]]</f>
        <v>1</v>
      </c>
      <c r="N5" s="7" t="str">
        <f>IF(Table1[[#This Row],[Total Contact Hours]]&gt;Table1[[#This Row],[Max Allowed Hours]],"Overloaded",IF(Table1[[#This Row],[Total Contact Hours]]=Table1[[#This Row],[Max Allowed Hours]],"Normal","Underloaded"))</f>
        <v>Underloaded</v>
      </c>
    </row>
    <row r="6" spans="1:17" x14ac:dyDescent="0.3">
      <c r="A6" s="7" t="s">
        <v>80</v>
      </c>
      <c r="B6" s="7" t="s">
        <v>372</v>
      </c>
      <c r="C6" s="7" t="s">
        <v>38</v>
      </c>
      <c r="D6" s="7" t="s">
        <v>365</v>
      </c>
      <c r="E6" s="7" t="s">
        <v>357</v>
      </c>
      <c r="F6" s="13">
        <v>6</v>
      </c>
      <c r="G6" s="7" t="s">
        <v>358</v>
      </c>
      <c r="H6" s="7">
        <v>2025</v>
      </c>
      <c r="I6" s="14">
        <v>8</v>
      </c>
      <c r="J6" s="7">
        <f>COUNTIF(Table6[Faculty ID],Table1[[#This Row],[Faculty ID]])</f>
        <v>2</v>
      </c>
      <c r="K6" s="7">
        <f>SUMIF(Table6[Faculty ID],Table1[[#This Row],[Faculty ID]],Table6[Duration (hrs)])</f>
        <v>3</v>
      </c>
      <c r="L6" s="7">
        <f>SUMIFS(Table6[Duration (hrs)],Table6[Faculty ID],Table1[[#This Row],[Faculty ID]],Table6[Is Lab],"Yes")</f>
        <v>2</v>
      </c>
      <c r="M6" s="7">
        <f>Table1[[#This Row],[Theory hrs/wk]]+Table1[[#This Row],[ Lab hrs/wk]]</f>
        <v>5</v>
      </c>
      <c r="N6" s="7" t="str">
        <f>IF(Table1[[#This Row],[Total Contact Hours]]&gt;Table1[[#This Row],[Max Allowed Hours]],"Overloaded",IF(Table1[[#This Row],[Total Contact Hours]]=Table1[[#This Row],[Max Allowed Hours]],"Normal","Underloaded"))</f>
        <v>Underloaded</v>
      </c>
    </row>
    <row r="7" spans="1:17" x14ac:dyDescent="0.3">
      <c r="A7" s="7" t="s">
        <v>234</v>
      </c>
      <c r="B7" s="7" t="s">
        <v>373</v>
      </c>
      <c r="C7" s="7" t="s">
        <v>114</v>
      </c>
      <c r="D7" s="7" t="s">
        <v>365</v>
      </c>
      <c r="E7" s="7" t="s">
        <v>357</v>
      </c>
      <c r="F7" s="13">
        <v>15</v>
      </c>
      <c r="G7" s="7" t="s">
        <v>358</v>
      </c>
      <c r="H7" s="7">
        <v>2025</v>
      </c>
      <c r="I7" s="15">
        <v>8</v>
      </c>
      <c r="J7" s="7">
        <f>COUNTIF(Table6[Faculty ID],Table1[[#This Row],[Faculty ID]])</f>
        <v>1</v>
      </c>
      <c r="K7" s="7">
        <f>SUMIF(Table6[Faculty ID],Table1[[#This Row],[Faculty ID]],Table6[Duration (hrs)])</f>
        <v>1</v>
      </c>
      <c r="L7" s="7">
        <f>SUMIFS(Table6[Duration (hrs)],Table6[Faculty ID],Table1[[#This Row],[Faculty ID]],Table6[Is Lab],"Yes")</f>
        <v>0</v>
      </c>
      <c r="M7" s="7">
        <f>Table1[[#This Row],[Theory hrs/wk]]+Table1[[#This Row],[ Lab hrs/wk]]</f>
        <v>1</v>
      </c>
      <c r="N7" s="7" t="str">
        <f>IF(Table1[[#This Row],[Total Contact Hours]]&gt;Table1[[#This Row],[Max Allowed Hours]],"Overloaded",IF(Table1[[#This Row],[Total Contact Hours]]=Table1[[#This Row],[Max Allowed Hours]],"Normal","Underloaded"))</f>
        <v>Underloaded</v>
      </c>
    </row>
    <row r="8" spans="1:17" x14ac:dyDescent="0.3">
      <c r="A8" s="7" t="s">
        <v>265</v>
      </c>
      <c r="B8" s="7" t="s">
        <v>374</v>
      </c>
      <c r="C8" s="7" t="s">
        <v>46</v>
      </c>
      <c r="D8" s="7" t="s">
        <v>356</v>
      </c>
      <c r="E8" s="7" t="s">
        <v>375</v>
      </c>
      <c r="F8" s="13">
        <v>2</v>
      </c>
      <c r="G8" s="7" t="s">
        <v>367</v>
      </c>
      <c r="H8" s="7">
        <v>2025</v>
      </c>
      <c r="I8" s="14">
        <v>10</v>
      </c>
      <c r="J8" s="7">
        <f>COUNTIF(Table6[Faculty ID],Table1[[#This Row],[Faculty ID]])</f>
        <v>1</v>
      </c>
      <c r="K8" s="7">
        <f>SUMIF(Table6[Faculty ID],Table1[[#This Row],[Faculty ID]],Table6[Duration (hrs)])</f>
        <v>1</v>
      </c>
      <c r="L8" s="7">
        <f>SUMIFS(Table6[Duration (hrs)],Table6[Faculty ID],Table1[[#This Row],[Faculty ID]],Table6[Is Lab],"Yes")</f>
        <v>0</v>
      </c>
      <c r="M8" s="7">
        <f>Table1[[#This Row],[Theory hrs/wk]]+Table1[[#This Row],[ Lab hrs/wk]]</f>
        <v>1</v>
      </c>
      <c r="N8" s="7" t="str">
        <f>IF(Table1[[#This Row],[Total Contact Hours]]&gt;Table1[[#This Row],[Max Allowed Hours]],"Overloaded",IF(Table1[[#This Row],[Total Contact Hours]]=Table1[[#This Row],[Max Allowed Hours]],"Normal","Underloaded"))</f>
        <v>Underloaded</v>
      </c>
      <c r="P8" s="66" t="s">
        <v>594</v>
      </c>
      <c r="Q8" s="67"/>
    </row>
    <row r="9" spans="1:17" x14ac:dyDescent="0.3">
      <c r="A9" s="7" t="s">
        <v>376</v>
      </c>
      <c r="B9" s="7" t="s">
        <v>377</v>
      </c>
      <c r="C9" s="7" t="s">
        <v>66</v>
      </c>
      <c r="D9" s="7" t="s">
        <v>356</v>
      </c>
      <c r="E9" s="7" t="s">
        <v>378</v>
      </c>
      <c r="F9" s="13" t="s">
        <v>553</v>
      </c>
      <c r="G9" s="7" t="s">
        <v>367</v>
      </c>
      <c r="H9" s="7">
        <v>2023</v>
      </c>
      <c r="I9" s="15">
        <v>10</v>
      </c>
      <c r="J9" s="7">
        <f>COUNTIF(Table6[Faculty ID],Table1[[#This Row],[Faculty ID]])</f>
        <v>0</v>
      </c>
      <c r="K9" s="7">
        <f>SUMIF(Table6[Faculty ID],Table1[[#This Row],[Faculty ID]],Table6[Duration (hrs)])</f>
        <v>0</v>
      </c>
      <c r="L9" s="7">
        <f>SUMIFS(Table6[Duration (hrs)],Table6[Faculty ID],Table1[[#This Row],[Faculty ID]],Table6[Is Lab],"Yes")</f>
        <v>0</v>
      </c>
      <c r="M9" s="7">
        <f>Table1[[#This Row],[Theory hrs/wk]]+Table1[[#This Row],[ Lab hrs/wk]]</f>
        <v>0</v>
      </c>
      <c r="N9" s="7" t="str">
        <f>IF(Table1[[#This Row],[Total Contact Hours]]&gt;Table1[[#This Row],[Max Allowed Hours]],"Overloaded",IF(Table1[[#This Row],[Total Contact Hours]]=Table1[[#This Row],[Max Allowed Hours]],"Normal","Underloaded"))</f>
        <v>Underloaded</v>
      </c>
      <c r="P9" s="68"/>
      <c r="Q9" s="69"/>
    </row>
    <row r="10" spans="1:17" x14ac:dyDescent="0.3">
      <c r="A10" s="7" t="s">
        <v>220</v>
      </c>
      <c r="B10" s="7" t="s">
        <v>379</v>
      </c>
      <c r="C10" s="7" t="s">
        <v>16</v>
      </c>
      <c r="D10" s="7" t="s">
        <v>380</v>
      </c>
      <c r="E10" s="7" t="s">
        <v>381</v>
      </c>
      <c r="F10" s="13">
        <v>6</v>
      </c>
      <c r="G10" s="7" t="s">
        <v>367</v>
      </c>
      <c r="H10" s="7">
        <v>2024</v>
      </c>
      <c r="I10" s="14">
        <v>10</v>
      </c>
      <c r="J10" s="7">
        <f>COUNTIF(Table6[Faculty ID],Table1[[#This Row],[Faculty ID]])</f>
        <v>4</v>
      </c>
      <c r="K10" s="7">
        <f>SUMIF(Table6[Faculty ID],Table1[[#This Row],[Faculty ID]],Table6[Duration (hrs)])</f>
        <v>7</v>
      </c>
      <c r="L10" s="7">
        <f>SUMIFS(Table6[Duration (hrs)],Table6[Faculty ID],Table1[[#This Row],[Faculty ID]],Table6[Is Lab],"Yes")</f>
        <v>6</v>
      </c>
      <c r="M10" s="7">
        <f>Table1[[#This Row],[Theory hrs/wk]]+Table1[[#This Row],[ Lab hrs/wk]]</f>
        <v>13</v>
      </c>
      <c r="N10" s="7" t="str">
        <f>IF(Table1[[#This Row],[Total Contact Hours]]&gt;Table1[[#This Row],[Max Allowed Hours]],"Overloaded",IF(Table1[[#This Row],[Total Contact Hours]]=Table1[[#This Row],[Max Allowed Hours]],"Normal","Underloaded"))</f>
        <v>Overloaded</v>
      </c>
    </row>
    <row r="11" spans="1:17" x14ac:dyDescent="0.3">
      <c r="A11" s="7" t="s">
        <v>333</v>
      </c>
      <c r="B11" s="7" t="s">
        <v>382</v>
      </c>
      <c r="C11" s="7" t="s">
        <v>114</v>
      </c>
      <c r="D11" s="7" t="s">
        <v>380</v>
      </c>
      <c r="E11" s="7" t="s">
        <v>553</v>
      </c>
      <c r="F11" s="13">
        <v>26</v>
      </c>
      <c r="G11" s="7" t="s">
        <v>358</v>
      </c>
      <c r="H11" s="7">
        <v>2024</v>
      </c>
      <c r="I11" s="15">
        <v>10</v>
      </c>
      <c r="J11" s="7">
        <f>COUNTIF(Table6[Faculty ID],Table1[[#This Row],[Faculty ID]])</f>
        <v>3</v>
      </c>
      <c r="K11" s="7">
        <f>SUMIF(Table6[Faculty ID],Table1[[#This Row],[Faculty ID]],Table6[Duration (hrs)])</f>
        <v>4</v>
      </c>
      <c r="L11" s="7">
        <f>SUMIFS(Table6[Duration (hrs)],Table6[Faculty ID],Table1[[#This Row],[Faculty ID]],Table6[Is Lab],"Yes")</f>
        <v>2</v>
      </c>
      <c r="M11" s="7">
        <f>Table1[[#This Row],[Theory hrs/wk]]+Table1[[#This Row],[ Lab hrs/wk]]</f>
        <v>6</v>
      </c>
      <c r="N11" s="7" t="str">
        <f>IF(Table1[[#This Row],[Total Contact Hours]]&gt;Table1[[#This Row],[Max Allowed Hours]],"Overloaded",IF(Table1[[#This Row],[Total Contact Hours]]=Table1[[#This Row],[Max Allowed Hours]],"Normal","Underloaded"))</f>
        <v>Underloaded</v>
      </c>
    </row>
    <row r="12" spans="1:17" x14ac:dyDescent="0.3">
      <c r="A12" s="7" t="s">
        <v>158</v>
      </c>
      <c r="B12" s="7" t="s">
        <v>383</v>
      </c>
      <c r="C12" s="7" t="s">
        <v>38</v>
      </c>
      <c r="D12" s="7" t="s">
        <v>365</v>
      </c>
      <c r="E12" s="7" t="s">
        <v>363</v>
      </c>
      <c r="F12" s="13">
        <v>21</v>
      </c>
      <c r="G12" s="7" t="s">
        <v>358</v>
      </c>
      <c r="H12" s="7">
        <v>2025</v>
      </c>
      <c r="I12" s="14">
        <v>8</v>
      </c>
      <c r="J12" s="7">
        <f>COUNTIF(Table6[Faculty ID],Table1[[#This Row],[Faculty ID]])</f>
        <v>3</v>
      </c>
      <c r="K12" s="7">
        <f>SUMIF(Table6[Faculty ID],Table1[[#This Row],[Faculty ID]],Table6[Duration (hrs)])</f>
        <v>3</v>
      </c>
      <c r="L12" s="7">
        <f>SUMIFS(Table6[Duration (hrs)],Table6[Faculty ID],Table1[[#This Row],[Faculty ID]],Table6[Is Lab],"Yes")</f>
        <v>0</v>
      </c>
      <c r="M12" s="7">
        <f>Table1[[#This Row],[Theory hrs/wk]]+Table1[[#This Row],[ Lab hrs/wk]]</f>
        <v>3</v>
      </c>
      <c r="N12" s="7" t="str">
        <f>IF(Table1[[#This Row],[Total Contact Hours]]&gt;Table1[[#This Row],[Max Allowed Hours]],"Overloaded",IF(Table1[[#This Row],[Total Contact Hours]]=Table1[[#This Row],[Max Allowed Hours]],"Normal","Underloaded"))</f>
        <v>Underloaded</v>
      </c>
    </row>
    <row r="13" spans="1:17" x14ac:dyDescent="0.3">
      <c r="A13" s="7" t="s">
        <v>384</v>
      </c>
      <c r="B13" s="7" t="s">
        <v>385</v>
      </c>
      <c r="C13" s="7" t="s">
        <v>16</v>
      </c>
      <c r="D13" s="7" t="s">
        <v>356</v>
      </c>
      <c r="E13" s="7" t="s">
        <v>378</v>
      </c>
      <c r="F13" s="13">
        <v>12</v>
      </c>
      <c r="G13" s="7" t="s">
        <v>358</v>
      </c>
      <c r="H13" s="7">
        <v>2024</v>
      </c>
      <c r="I13" s="15">
        <v>10</v>
      </c>
      <c r="J13" s="7">
        <f>COUNTIF(Table6[Faculty ID],Table1[[#This Row],[Faculty ID]])</f>
        <v>1</v>
      </c>
      <c r="K13" s="7">
        <f>SUMIF(Table6[Faculty ID],Table1[[#This Row],[Faculty ID]],Table6[Duration (hrs)])</f>
        <v>2</v>
      </c>
      <c r="L13" s="7">
        <f>SUMIFS(Table6[Duration (hrs)],Table6[Faculty ID],Table1[[#This Row],[Faculty ID]],Table6[Is Lab],"Yes")</f>
        <v>0</v>
      </c>
      <c r="M13" s="7">
        <f>Table1[[#This Row],[Theory hrs/wk]]+Table1[[#This Row],[ Lab hrs/wk]]</f>
        <v>2</v>
      </c>
      <c r="N13" s="7" t="str">
        <f>IF(Table1[[#This Row],[Total Contact Hours]]&gt;Table1[[#This Row],[Max Allowed Hours]],"Overloaded",IF(Table1[[#This Row],[Total Contact Hours]]=Table1[[#This Row],[Max Allowed Hours]],"Normal","Underloaded"))</f>
        <v>Underloaded</v>
      </c>
    </row>
    <row r="14" spans="1:17" x14ac:dyDescent="0.3">
      <c r="A14" s="7" t="s">
        <v>162</v>
      </c>
      <c r="B14" s="7" t="s">
        <v>386</v>
      </c>
      <c r="C14" s="7" t="s">
        <v>16</v>
      </c>
      <c r="D14" s="7" t="s">
        <v>365</v>
      </c>
      <c r="E14" s="7" t="s">
        <v>366</v>
      </c>
      <c r="F14" s="13">
        <v>17</v>
      </c>
      <c r="G14" s="7" t="s">
        <v>367</v>
      </c>
      <c r="H14" s="7">
        <v>2025</v>
      </c>
      <c r="I14" s="14">
        <v>8</v>
      </c>
      <c r="J14" s="7">
        <f>COUNTIF(Table6[Faculty ID],Table1[[#This Row],[Faculty ID]])</f>
        <v>1</v>
      </c>
      <c r="K14" s="7">
        <f>SUMIF(Table6[Faculty ID],Table1[[#This Row],[Faculty ID]],Table6[Duration (hrs)])</f>
        <v>2</v>
      </c>
      <c r="L14" s="7">
        <f>SUMIFS(Table6[Duration (hrs)],Table6[Faculty ID],Table1[[#This Row],[Faculty ID]],Table6[Is Lab],"Yes")</f>
        <v>2</v>
      </c>
      <c r="M14" s="7">
        <f>Table1[[#This Row],[Theory hrs/wk]]+Table1[[#This Row],[ Lab hrs/wk]]</f>
        <v>4</v>
      </c>
      <c r="N14" s="7" t="str">
        <f>IF(Table1[[#This Row],[Total Contact Hours]]&gt;Table1[[#This Row],[Max Allowed Hours]],"Overloaded",IF(Table1[[#This Row],[Total Contact Hours]]=Table1[[#This Row],[Max Allowed Hours]],"Normal","Underloaded"))</f>
        <v>Underloaded</v>
      </c>
    </row>
    <row r="15" spans="1:17" x14ac:dyDescent="0.3">
      <c r="A15" s="7" t="s">
        <v>147</v>
      </c>
      <c r="B15" s="7" t="s">
        <v>387</v>
      </c>
      <c r="C15" s="7" t="s">
        <v>38</v>
      </c>
      <c r="D15" s="7" t="s">
        <v>356</v>
      </c>
      <c r="E15" s="7" t="s">
        <v>366</v>
      </c>
      <c r="F15" s="13">
        <v>14</v>
      </c>
      <c r="G15" s="7" t="s">
        <v>358</v>
      </c>
      <c r="H15" s="7">
        <v>2025</v>
      </c>
      <c r="I15" s="15">
        <v>8</v>
      </c>
      <c r="J15" s="7">
        <f>COUNTIF(Table6[Faculty ID],Table1[[#This Row],[Faculty ID]])</f>
        <v>2</v>
      </c>
      <c r="K15" s="7">
        <f>SUMIF(Table6[Faculty ID],Table1[[#This Row],[Faculty ID]],Table6[Duration (hrs)])</f>
        <v>4</v>
      </c>
      <c r="L15" s="7">
        <f>SUMIFS(Table6[Duration (hrs)],Table6[Faculty ID],Table1[[#This Row],[Faculty ID]],Table6[Is Lab],"Yes")</f>
        <v>4</v>
      </c>
      <c r="M15" s="7">
        <f>Table1[[#This Row],[Theory hrs/wk]]+Table1[[#This Row],[ Lab hrs/wk]]</f>
        <v>8</v>
      </c>
      <c r="N15" s="7" t="str">
        <f>IF(Table1[[#This Row],[Total Contact Hours]]&gt;Table1[[#This Row],[Max Allowed Hours]],"Overloaded",IF(Table1[[#This Row],[Total Contact Hours]]=Table1[[#This Row],[Max Allowed Hours]],"Normal","Underloaded"))</f>
        <v>Normal</v>
      </c>
    </row>
    <row r="16" spans="1:17" x14ac:dyDescent="0.3">
      <c r="A16" s="7" t="s">
        <v>273</v>
      </c>
      <c r="B16" s="7" t="s">
        <v>388</v>
      </c>
      <c r="C16" s="7" t="s">
        <v>28</v>
      </c>
      <c r="D16" s="7" t="s">
        <v>365</v>
      </c>
      <c r="E16" s="7" t="s">
        <v>553</v>
      </c>
      <c r="F16" s="13">
        <v>29</v>
      </c>
      <c r="G16" s="7" t="s">
        <v>358</v>
      </c>
      <c r="H16" s="7">
        <v>2024</v>
      </c>
      <c r="I16" s="14">
        <v>8</v>
      </c>
      <c r="J16" s="7">
        <f>COUNTIF(Table6[Faculty ID],Table1[[#This Row],[Faculty ID]])</f>
        <v>4</v>
      </c>
      <c r="K16" s="7">
        <f>SUMIF(Table6[Faculty ID],Table1[[#This Row],[Faculty ID]],Table6[Duration (hrs)])</f>
        <v>7</v>
      </c>
      <c r="L16" s="7">
        <f>SUMIFS(Table6[Duration (hrs)],Table6[Faculty ID],Table1[[#This Row],[Faculty ID]],Table6[Is Lab],"Yes")</f>
        <v>6</v>
      </c>
      <c r="M16" s="7">
        <f>Table1[[#This Row],[Theory hrs/wk]]+Table1[[#This Row],[ Lab hrs/wk]]</f>
        <v>13</v>
      </c>
      <c r="N16" s="7" t="str">
        <f>IF(Table1[[#This Row],[Total Contact Hours]]&gt;Table1[[#This Row],[Max Allowed Hours]],"Overloaded",IF(Table1[[#This Row],[Total Contact Hours]]=Table1[[#This Row],[Max Allowed Hours]],"Normal","Underloaded"))</f>
        <v>Overloaded</v>
      </c>
    </row>
    <row r="17" spans="1:14" x14ac:dyDescent="0.3">
      <c r="A17" s="7" t="s">
        <v>131</v>
      </c>
      <c r="B17" s="7" t="s">
        <v>389</v>
      </c>
      <c r="C17" s="7" t="s">
        <v>164</v>
      </c>
      <c r="D17" s="7" t="s">
        <v>390</v>
      </c>
      <c r="E17" s="7" t="s">
        <v>357</v>
      </c>
      <c r="F17" s="13">
        <v>26</v>
      </c>
      <c r="G17" s="7" t="s">
        <v>358</v>
      </c>
      <c r="H17" s="7">
        <v>2025</v>
      </c>
      <c r="I17" s="15">
        <v>10</v>
      </c>
      <c r="J17" s="7">
        <f>COUNTIF(Table6[Faculty ID],Table1[[#This Row],[Faculty ID]])</f>
        <v>2</v>
      </c>
      <c r="K17" s="7">
        <f>SUMIF(Table6[Faculty ID],Table1[[#This Row],[Faculty ID]],Table6[Duration (hrs)])</f>
        <v>4</v>
      </c>
      <c r="L17" s="7">
        <f>SUMIFS(Table6[Duration (hrs)],Table6[Faculty ID],Table1[[#This Row],[Faculty ID]],Table6[Is Lab],"Yes")</f>
        <v>4</v>
      </c>
      <c r="M17" s="7">
        <f>Table1[[#This Row],[Theory hrs/wk]]+Table1[[#This Row],[ Lab hrs/wk]]</f>
        <v>8</v>
      </c>
      <c r="N17" s="7" t="str">
        <f>IF(Table1[[#This Row],[Total Contact Hours]]&gt;Table1[[#This Row],[Max Allowed Hours]],"Overloaded",IF(Table1[[#This Row],[Total Contact Hours]]=Table1[[#This Row],[Max Allowed Hours]],"Normal","Underloaded"))</f>
        <v>Underloaded</v>
      </c>
    </row>
    <row r="18" spans="1:14" x14ac:dyDescent="0.3">
      <c r="A18" s="7" t="s">
        <v>136</v>
      </c>
      <c r="B18" s="7" t="s">
        <v>391</v>
      </c>
      <c r="C18" s="7" t="s">
        <v>38</v>
      </c>
      <c r="D18" s="7" t="s">
        <v>365</v>
      </c>
      <c r="E18" s="7" t="s">
        <v>375</v>
      </c>
      <c r="F18" s="13">
        <v>29</v>
      </c>
      <c r="G18" s="7" t="s">
        <v>358</v>
      </c>
      <c r="H18" s="7">
        <v>2023</v>
      </c>
      <c r="I18" s="14">
        <v>8</v>
      </c>
      <c r="J18" s="7">
        <f>COUNTIF(Table6[Faculty ID],Table1[[#This Row],[Faculty ID]])</f>
        <v>3</v>
      </c>
      <c r="K18" s="7">
        <f>SUMIF(Table6[Faculty ID],Table1[[#This Row],[Faculty ID]],Table6[Duration (hrs)])</f>
        <v>5</v>
      </c>
      <c r="L18" s="7">
        <f>SUMIFS(Table6[Duration (hrs)],Table6[Faculty ID],Table1[[#This Row],[Faculty ID]],Table6[Is Lab],"Yes")</f>
        <v>4</v>
      </c>
      <c r="M18" s="7">
        <f>Table1[[#This Row],[Theory hrs/wk]]+Table1[[#This Row],[ Lab hrs/wk]]</f>
        <v>9</v>
      </c>
      <c r="N18" s="7" t="str">
        <f>IF(Table1[[#This Row],[Total Contact Hours]]&gt;Table1[[#This Row],[Max Allowed Hours]],"Overloaded",IF(Table1[[#This Row],[Total Contact Hours]]=Table1[[#This Row],[Max Allowed Hours]],"Normal","Underloaded"))</f>
        <v>Overloaded</v>
      </c>
    </row>
    <row r="19" spans="1:14" x14ac:dyDescent="0.3">
      <c r="A19" s="7" t="s">
        <v>107</v>
      </c>
      <c r="B19" s="7" t="s">
        <v>392</v>
      </c>
      <c r="C19" s="7" t="s">
        <v>114</v>
      </c>
      <c r="D19" s="7" t="s">
        <v>390</v>
      </c>
      <c r="E19" s="7" t="s">
        <v>375</v>
      </c>
      <c r="F19" s="13">
        <v>3</v>
      </c>
      <c r="G19" s="7" t="s">
        <v>358</v>
      </c>
      <c r="H19" s="7">
        <v>2023</v>
      </c>
      <c r="I19" s="15">
        <v>10</v>
      </c>
      <c r="J19" s="7">
        <f>COUNTIF(Table6[Faculty ID],Table1[[#This Row],[Faculty ID]])</f>
        <v>2</v>
      </c>
      <c r="K19" s="7">
        <f>SUMIF(Table6[Faculty ID],Table1[[#This Row],[Faculty ID]],Table6[Duration (hrs)])</f>
        <v>2</v>
      </c>
      <c r="L19" s="7">
        <f>SUMIFS(Table6[Duration (hrs)],Table6[Faculty ID],Table1[[#This Row],[Faculty ID]],Table6[Is Lab],"Yes")</f>
        <v>0</v>
      </c>
      <c r="M19" s="7">
        <f>Table1[[#This Row],[Theory hrs/wk]]+Table1[[#This Row],[ Lab hrs/wk]]</f>
        <v>2</v>
      </c>
      <c r="N19" s="7" t="str">
        <f>IF(Table1[[#This Row],[Total Contact Hours]]&gt;Table1[[#This Row],[Max Allowed Hours]],"Overloaded",IF(Table1[[#This Row],[Total Contact Hours]]=Table1[[#This Row],[Max Allowed Hours]],"Normal","Underloaded"))</f>
        <v>Underloaded</v>
      </c>
    </row>
    <row r="20" spans="1:14" x14ac:dyDescent="0.3">
      <c r="A20" s="7" t="s">
        <v>393</v>
      </c>
      <c r="B20" s="7" t="s">
        <v>394</v>
      </c>
      <c r="C20" s="7" t="s">
        <v>198</v>
      </c>
      <c r="D20" s="7" t="s">
        <v>390</v>
      </c>
      <c r="E20" s="7" t="s">
        <v>381</v>
      </c>
      <c r="F20" s="13">
        <v>16</v>
      </c>
      <c r="G20" s="7" t="s">
        <v>358</v>
      </c>
      <c r="H20" s="7">
        <v>2023</v>
      </c>
      <c r="I20" s="14">
        <v>10</v>
      </c>
      <c r="J20" s="7">
        <f>COUNTIF(Table6[Faculty ID],Table1[[#This Row],[Faculty ID]])</f>
        <v>0</v>
      </c>
      <c r="K20" s="7">
        <f>SUMIF(Table6[Faculty ID],Table1[[#This Row],[Faculty ID]],Table6[Duration (hrs)])</f>
        <v>0</v>
      </c>
      <c r="L20" s="7">
        <f>SUMIFS(Table6[Duration (hrs)],Table6[Faculty ID],Table1[[#This Row],[Faculty ID]],Table6[Is Lab],"Yes")</f>
        <v>0</v>
      </c>
      <c r="M20" s="7">
        <f>Table1[[#This Row],[Theory hrs/wk]]+Table1[[#This Row],[ Lab hrs/wk]]</f>
        <v>0</v>
      </c>
      <c r="N20" s="7" t="str">
        <f>IF(Table1[[#This Row],[Total Contact Hours]]&gt;Table1[[#This Row],[Max Allowed Hours]],"Overloaded",IF(Table1[[#This Row],[Total Contact Hours]]=Table1[[#This Row],[Max Allowed Hours]],"Normal","Underloaded"))</f>
        <v>Underloaded</v>
      </c>
    </row>
    <row r="21" spans="1:14" x14ac:dyDescent="0.3">
      <c r="A21" s="7" t="s">
        <v>176</v>
      </c>
      <c r="B21" s="7" t="s">
        <v>395</v>
      </c>
      <c r="C21" s="7" t="s">
        <v>164</v>
      </c>
      <c r="D21" s="7" t="s">
        <v>362</v>
      </c>
      <c r="E21" s="7" t="s">
        <v>363</v>
      </c>
      <c r="F21" s="13">
        <v>8</v>
      </c>
      <c r="G21" s="7" t="s">
        <v>358</v>
      </c>
      <c r="H21" s="7">
        <v>2023</v>
      </c>
      <c r="I21" s="15">
        <v>10</v>
      </c>
      <c r="J21" s="7">
        <f>COUNTIF(Table6[Faculty ID],Table1[[#This Row],[Faculty ID]])</f>
        <v>2</v>
      </c>
      <c r="K21" s="7">
        <f>SUMIF(Table6[Faculty ID],Table1[[#This Row],[Faculty ID]],Table6[Duration (hrs)])</f>
        <v>2</v>
      </c>
      <c r="L21" s="7">
        <f>SUMIFS(Table6[Duration (hrs)],Table6[Faculty ID],Table1[[#This Row],[Faculty ID]],Table6[Is Lab],"Yes")</f>
        <v>0</v>
      </c>
      <c r="M21" s="7">
        <f>Table1[[#This Row],[Theory hrs/wk]]+Table1[[#This Row],[ Lab hrs/wk]]</f>
        <v>2</v>
      </c>
      <c r="N21" s="7" t="str">
        <f>IF(Table1[[#This Row],[Total Contact Hours]]&gt;Table1[[#This Row],[Max Allowed Hours]],"Overloaded",IF(Table1[[#This Row],[Total Contact Hours]]=Table1[[#This Row],[Max Allowed Hours]],"Normal","Underloaded"))</f>
        <v>Underloaded</v>
      </c>
    </row>
    <row r="22" spans="1:14" x14ac:dyDescent="0.3">
      <c r="A22" s="7" t="s">
        <v>215</v>
      </c>
      <c r="B22" s="7" t="s">
        <v>396</v>
      </c>
      <c r="C22" s="7" t="s">
        <v>66</v>
      </c>
      <c r="D22" s="7" t="s">
        <v>380</v>
      </c>
      <c r="E22" s="7" t="s">
        <v>378</v>
      </c>
      <c r="F22" s="13">
        <v>8</v>
      </c>
      <c r="G22" s="7" t="s">
        <v>358</v>
      </c>
      <c r="H22" s="7">
        <v>2023</v>
      </c>
      <c r="I22" s="14">
        <v>10</v>
      </c>
      <c r="J22" s="7">
        <f>COUNTIF(Table6[Faculty ID],Table1[[#This Row],[Faculty ID]])</f>
        <v>2</v>
      </c>
      <c r="K22" s="7">
        <f>SUMIF(Table6[Faculty ID],Table1[[#This Row],[Faculty ID]],Table6[Duration (hrs)])</f>
        <v>3</v>
      </c>
      <c r="L22" s="7">
        <f>SUMIFS(Table6[Duration (hrs)],Table6[Faculty ID],Table1[[#This Row],[Faculty ID]],Table6[Is Lab],"Yes")</f>
        <v>3</v>
      </c>
      <c r="M22" s="7">
        <f>Table1[[#This Row],[Theory hrs/wk]]+Table1[[#This Row],[ Lab hrs/wk]]</f>
        <v>6</v>
      </c>
      <c r="N22" s="7" t="str">
        <f>IF(Table1[[#This Row],[Total Contact Hours]]&gt;Table1[[#This Row],[Max Allowed Hours]],"Overloaded",IF(Table1[[#This Row],[Total Contact Hours]]=Table1[[#This Row],[Max Allowed Hours]],"Normal","Underloaded"))</f>
        <v>Underloaded</v>
      </c>
    </row>
    <row r="23" spans="1:14" x14ac:dyDescent="0.3">
      <c r="A23" s="7" t="s">
        <v>283</v>
      </c>
      <c r="B23" s="7" t="s">
        <v>397</v>
      </c>
      <c r="C23" s="7" t="s">
        <v>16</v>
      </c>
      <c r="D23" s="7" t="s">
        <v>380</v>
      </c>
      <c r="E23" s="7" t="s">
        <v>363</v>
      </c>
      <c r="F23" s="13" t="s">
        <v>553</v>
      </c>
      <c r="G23" s="7" t="s">
        <v>358</v>
      </c>
      <c r="H23" s="7">
        <v>2024</v>
      </c>
      <c r="I23" s="15">
        <v>10</v>
      </c>
      <c r="J23" s="7">
        <f>COUNTIF(Table6[Faculty ID],Table1[[#This Row],[Faculty ID]])</f>
        <v>2</v>
      </c>
      <c r="K23" s="7">
        <f>SUMIF(Table6[Faculty ID],Table1[[#This Row],[Faculty ID]],Table6[Duration (hrs)])</f>
        <v>3</v>
      </c>
      <c r="L23" s="7">
        <f>SUMIFS(Table6[Duration (hrs)],Table6[Faculty ID],Table1[[#This Row],[Faculty ID]],Table6[Is Lab],"Yes")</f>
        <v>3</v>
      </c>
      <c r="M23" s="7">
        <f>Table1[[#This Row],[Theory hrs/wk]]+Table1[[#This Row],[ Lab hrs/wk]]</f>
        <v>6</v>
      </c>
      <c r="N23" s="7" t="str">
        <f>IF(Table1[[#This Row],[Total Contact Hours]]&gt;Table1[[#This Row],[Max Allowed Hours]],"Overloaded",IF(Table1[[#This Row],[Total Contact Hours]]=Table1[[#This Row],[Max Allowed Hours]],"Normal","Underloaded"))</f>
        <v>Underloaded</v>
      </c>
    </row>
    <row r="24" spans="1:14" x14ac:dyDescent="0.3">
      <c r="A24" s="7" t="s">
        <v>241</v>
      </c>
      <c r="B24" s="7" t="s">
        <v>398</v>
      </c>
      <c r="C24" s="7" t="s">
        <v>16</v>
      </c>
      <c r="D24" s="7" t="s">
        <v>365</v>
      </c>
      <c r="E24" s="7" t="s">
        <v>357</v>
      </c>
      <c r="F24" s="13">
        <v>24</v>
      </c>
      <c r="G24" s="7" t="s">
        <v>367</v>
      </c>
      <c r="H24" s="7">
        <v>2023</v>
      </c>
      <c r="I24" s="14">
        <v>8</v>
      </c>
      <c r="J24" s="7">
        <f>COUNTIF(Table6[Faculty ID],Table1[[#This Row],[Faculty ID]])</f>
        <v>2</v>
      </c>
      <c r="K24" s="7">
        <f>SUMIF(Table6[Faculty ID],Table1[[#This Row],[Faculty ID]],Table6[Duration (hrs)])</f>
        <v>3</v>
      </c>
      <c r="L24" s="7">
        <f>SUMIFS(Table6[Duration (hrs)],Table6[Faculty ID],Table1[[#This Row],[Faculty ID]],Table6[Is Lab],"Yes")</f>
        <v>2</v>
      </c>
      <c r="M24" s="7">
        <f>Table1[[#This Row],[Theory hrs/wk]]+Table1[[#This Row],[ Lab hrs/wk]]</f>
        <v>5</v>
      </c>
      <c r="N24" s="7" t="str">
        <f>IF(Table1[[#This Row],[Total Contact Hours]]&gt;Table1[[#This Row],[Max Allowed Hours]],"Overloaded",IF(Table1[[#This Row],[Total Contact Hours]]=Table1[[#This Row],[Max Allowed Hours]],"Normal","Underloaded"))</f>
        <v>Underloaded</v>
      </c>
    </row>
    <row r="25" spans="1:14" x14ac:dyDescent="0.3">
      <c r="A25" s="7" t="s">
        <v>305</v>
      </c>
      <c r="B25" s="7" t="s">
        <v>399</v>
      </c>
      <c r="C25" s="7" t="s">
        <v>198</v>
      </c>
      <c r="D25" s="7" t="s">
        <v>356</v>
      </c>
      <c r="E25" s="7" t="s">
        <v>381</v>
      </c>
      <c r="F25" s="13">
        <v>6</v>
      </c>
      <c r="G25" s="7" t="s">
        <v>367</v>
      </c>
      <c r="H25" s="7">
        <v>2024</v>
      </c>
      <c r="I25" s="15">
        <v>10</v>
      </c>
      <c r="J25" s="7">
        <f>COUNTIF(Table6[Faculty ID],Table1[[#This Row],[Faculty ID]])</f>
        <v>2</v>
      </c>
      <c r="K25" s="7">
        <f>SUMIF(Table6[Faculty ID],Table1[[#This Row],[Faculty ID]],Table6[Duration (hrs)])</f>
        <v>3</v>
      </c>
      <c r="L25" s="7">
        <f>SUMIFS(Table6[Duration (hrs)],Table6[Faculty ID],Table1[[#This Row],[Faculty ID]],Table6[Is Lab],"Yes")</f>
        <v>2</v>
      </c>
      <c r="M25" s="7">
        <f>Table1[[#This Row],[Theory hrs/wk]]+Table1[[#This Row],[ Lab hrs/wk]]</f>
        <v>5</v>
      </c>
      <c r="N25" s="7" t="str">
        <f>IF(Table1[[#This Row],[Total Contact Hours]]&gt;Table1[[#This Row],[Max Allowed Hours]],"Overloaded",IF(Table1[[#This Row],[Total Contact Hours]]=Table1[[#This Row],[Max Allowed Hours]],"Normal","Underloaded"))</f>
        <v>Underloaded</v>
      </c>
    </row>
    <row r="26" spans="1:14" x14ac:dyDescent="0.3">
      <c r="A26" s="7" t="s">
        <v>49</v>
      </c>
      <c r="B26" s="7" t="s">
        <v>400</v>
      </c>
      <c r="C26" s="7" t="s">
        <v>66</v>
      </c>
      <c r="D26" s="7" t="s">
        <v>365</v>
      </c>
      <c r="E26" s="7" t="s">
        <v>363</v>
      </c>
      <c r="F26" s="13">
        <v>17</v>
      </c>
      <c r="G26" s="7" t="s">
        <v>367</v>
      </c>
      <c r="H26" s="7">
        <v>2024</v>
      </c>
      <c r="I26" s="14">
        <v>8</v>
      </c>
      <c r="J26" s="7">
        <f>COUNTIF(Table6[Faculty ID],Table1[[#This Row],[Faculty ID]])</f>
        <v>3</v>
      </c>
      <c r="K26" s="7">
        <f>SUMIF(Table6[Faculty ID],Table1[[#This Row],[Faculty ID]],Table6[Duration (hrs)])</f>
        <v>4</v>
      </c>
      <c r="L26" s="7">
        <f>SUMIFS(Table6[Duration (hrs)],Table6[Faculty ID],Table1[[#This Row],[Faculty ID]],Table6[Is Lab],"Yes")</f>
        <v>0</v>
      </c>
      <c r="M26" s="7">
        <f>Table1[[#This Row],[Theory hrs/wk]]+Table1[[#This Row],[ Lab hrs/wk]]</f>
        <v>4</v>
      </c>
      <c r="N26" s="7" t="str">
        <f>IF(Table1[[#This Row],[Total Contact Hours]]&gt;Table1[[#This Row],[Max Allowed Hours]],"Overloaded",IF(Table1[[#This Row],[Total Contact Hours]]=Table1[[#This Row],[Max Allowed Hours]],"Normal","Underloaded"))</f>
        <v>Underloaded</v>
      </c>
    </row>
    <row r="27" spans="1:14" x14ac:dyDescent="0.3">
      <c r="A27" s="7" t="s">
        <v>326</v>
      </c>
      <c r="B27" s="7" t="s">
        <v>401</v>
      </c>
      <c r="C27" s="7" t="s">
        <v>46</v>
      </c>
      <c r="D27" s="7" t="s">
        <v>362</v>
      </c>
      <c r="E27" s="7" t="s">
        <v>363</v>
      </c>
      <c r="F27" s="13">
        <v>14</v>
      </c>
      <c r="G27" s="7" t="s">
        <v>358</v>
      </c>
      <c r="H27" s="7">
        <v>2025</v>
      </c>
      <c r="I27" s="15">
        <v>10</v>
      </c>
      <c r="J27" s="7">
        <f>COUNTIF(Table6[Faculty ID],Table1[[#This Row],[Faculty ID]])</f>
        <v>1</v>
      </c>
      <c r="K27" s="7">
        <f>SUMIF(Table6[Faculty ID],Table1[[#This Row],[Faculty ID]],Table6[Duration (hrs)])</f>
        <v>1</v>
      </c>
      <c r="L27" s="7">
        <f>SUMIFS(Table6[Duration (hrs)],Table6[Faculty ID],Table1[[#This Row],[Faculty ID]],Table6[Is Lab],"Yes")</f>
        <v>1</v>
      </c>
      <c r="M27" s="7">
        <f>Table1[[#This Row],[Theory hrs/wk]]+Table1[[#This Row],[ Lab hrs/wk]]</f>
        <v>2</v>
      </c>
      <c r="N27" s="7" t="str">
        <f>IF(Table1[[#This Row],[Total Contact Hours]]&gt;Table1[[#This Row],[Max Allowed Hours]],"Overloaded",IF(Table1[[#This Row],[Total Contact Hours]]=Table1[[#This Row],[Max Allowed Hours]],"Normal","Underloaded"))</f>
        <v>Underloaded</v>
      </c>
    </row>
    <row r="28" spans="1:14" x14ac:dyDescent="0.3">
      <c r="A28" s="7" t="s">
        <v>154</v>
      </c>
      <c r="B28" s="7" t="s">
        <v>402</v>
      </c>
      <c r="C28" s="7" t="s">
        <v>16</v>
      </c>
      <c r="D28" s="7" t="s">
        <v>356</v>
      </c>
      <c r="E28" s="7" t="s">
        <v>366</v>
      </c>
      <c r="F28" s="13">
        <v>14</v>
      </c>
      <c r="G28" s="7" t="s">
        <v>367</v>
      </c>
      <c r="H28" s="7">
        <v>2024</v>
      </c>
      <c r="I28" s="14">
        <v>10</v>
      </c>
      <c r="J28" s="7">
        <f>COUNTIF(Table6[Faculty ID],Table1[[#This Row],[Faculty ID]])</f>
        <v>2</v>
      </c>
      <c r="K28" s="7">
        <f>SUMIF(Table6[Faculty ID],Table1[[#This Row],[Faculty ID]],Table6[Duration (hrs)])</f>
        <v>3</v>
      </c>
      <c r="L28" s="7">
        <f>SUMIFS(Table6[Duration (hrs)],Table6[Faculty ID],Table1[[#This Row],[Faculty ID]],Table6[Is Lab],"Yes")</f>
        <v>2</v>
      </c>
      <c r="M28" s="7">
        <f>Table1[[#This Row],[Theory hrs/wk]]+Table1[[#This Row],[ Lab hrs/wk]]</f>
        <v>5</v>
      </c>
      <c r="N28" s="7" t="str">
        <f>IF(Table1[[#This Row],[Total Contact Hours]]&gt;Table1[[#This Row],[Max Allowed Hours]],"Overloaded",IF(Table1[[#This Row],[Total Contact Hours]]=Table1[[#This Row],[Max Allowed Hours]],"Normal","Underloaded"))</f>
        <v>Underloaded</v>
      </c>
    </row>
    <row r="29" spans="1:14" x14ac:dyDescent="0.3">
      <c r="A29" s="7" t="s">
        <v>111</v>
      </c>
      <c r="B29" s="7" t="s">
        <v>403</v>
      </c>
      <c r="C29" s="7" t="s">
        <v>164</v>
      </c>
      <c r="D29" s="7" t="s">
        <v>390</v>
      </c>
      <c r="E29" s="7" t="s">
        <v>381</v>
      </c>
      <c r="F29" s="13">
        <v>15</v>
      </c>
      <c r="G29" s="7" t="s">
        <v>358</v>
      </c>
      <c r="H29" s="7">
        <v>2024</v>
      </c>
      <c r="I29" s="15">
        <v>8</v>
      </c>
      <c r="J29" s="7">
        <f>COUNTIF(Table6[Faculty ID],Table1[[#This Row],[Faculty ID]])</f>
        <v>2</v>
      </c>
      <c r="K29" s="7">
        <f>SUMIF(Table6[Faculty ID],Table1[[#This Row],[Faculty ID]],Table6[Duration (hrs)])</f>
        <v>4</v>
      </c>
      <c r="L29" s="7">
        <f>SUMIFS(Table6[Duration (hrs)],Table6[Faculty ID],Table1[[#This Row],[Faculty ID]],Table6[Is Lab],"Yes")</f>
        <v>4</v>
      </c>
      <c r="M29" s="7">
        <f>Table1[[#This Row],[Theory hrs/wk]]+Table1[[#This Row],[ Lab hrs/wk]]</f>
        <v>8</v>
      </c>
      <c r="N29" s="7" t="str">
        <f>IF(Table1[[#This Row],[Total Contact Hours]]&gt;Table1[[#This Row],[Max Allowed Hours]],"Overloaded",IF(Table1[[#This Row],[Total Contact Hours]]=Table1[[#This Row],[Max Allowed Hours]],"Normal","Underloaded"))</f>
        <v>Normal</v>
      </c>
    </row>
    <row r="30" spans="1:14" x14ac:dyDescent="0.3">
      <c r="A30" s="7" t="s">
        <v>116</v>
      </c>
      <c r="B30" s="7" t="s">
        <v>404</v>
      </c>
      <c r="C30" s="7" t="s">
        <v>164</v>
      </c>
      <c r="D30" s="7" t="s">
        <v>365</v>
      </c>
      <c r="E30" s="7" t="s">
        <v>378</v>
      </c>
      <c r="F30" s="13">
        <v>26</v>
      </c>
      <c r="G30" s="7" t="s">
        <v>358</v>
      </c>
      <c r="H30" s="7">
        <v>2023</v>
      </c>
      <c r="I30" s="14">
        <v>8</v>
      </c>
      <c r="J30" s="7">
        <f>COUNTIF(Table6[Faculty ID],Table1[[#This Row],[Faculty ID]])</f>
        <v>3</v>
      </c>
      <c r="K30" s="7">
        <f>SUMIF(Table6[Faculty ID],Table1[[#This Row],[Faculty ID]],Table6[Duration (hrs)])</f>
        <v>6</v>
      </c>
      <c r="L30" s="7">
        <f>SUMIFS(Table6[Duration (hrs)],Table6[Faculty ID],Table1[[#This Row],[Faculty ID]],Table6[Is Lab],"Yes")</f>
        <v>6</v>
      </c>
      <c r="M30" s="7">
        <f>Table1[[#This Row],[Theory hrs/wk]]+Table1[[#This Row],[ Lab hrs/wk]]</f>
        <v>12</v>
      </c>
      <c r="N30" s="7" t="str">
        <f>IF(Table1[[#This Row],[Total Contact Hours]]&gt;Table1[[#This Row],[Max Allowed Hours]],"Overloaded",IF(Table1[[#This Row],[Total Contact Hours]]=Table1[[#This Row],[Max Allowed Hours]],"Normal","Underloaded"))</f>
        <v>Overloaded</v>
      </c>
    </row>
    <row r="31" spans="1:14" x14ac:dyDescent="0.3">
      <c r="A31" s="7" t="s">
        <v>57</v>
      </c>
      <c r="B31" s="7" t="s">
        <v>405</v>
      </c>
      <c r="C31" s="7" t="s">
        <v>114</v>
      </c>
      <c r="D31" s="7" t="s">
        <v>365</v>
      </c>
      <c r="E31" s="7" t="s">
        <v>375</v>
      </c>
      <c r="F31" s="13">
        <v>19</v>
      </c>
      <c r="G31" s="7" t="s">
        <v>358</v>
      </c>
      <c r="H31" s="7">
        <v>2024</v>
      </c>
      <c r="I31" s="15">
        <v>8</v>
      </c>
      <c r="J31" s="7">
        <f>COUNTIF(Table6[Faculty ID],Table1[[#This Row],[Faculty ID]])</f>
        <v>4</v>
      </c>
      <c r="K31" s="7">
        <f>SUMIF(Table6[Faculty ID],Table1[[#This Row],[Faculty ID]],Table6[Duration (hrs)])</f>
        <v>8</v>
      </c>
      <c r="L31" s="7">
        <f>SUMIFS(Table6[Duration (hrs)],Table6[Faculty ID],Table1[[#This Row],[Faculty ID]],Table6[Is Lab],"Yes")</f>
        <v>8</v>
      </c>
      <c r="M31" s="7">
        <f>Table1[[#This Row],[Theory hrs/wk]]+Table1[[#This Row],[ Lab hrs/wk]]</f>
        <v>16</v>
      </c>
      <c r="N31" s="7" t="str">
        <f>IF(Table1[[#This Row],[Total Contact Hours]]&gt;Table1[[#This Row],[Max Allowed Hours]],"Overloaded",IF(Table1[[#This Row],[Total Contact Hours]]=Table1[[#This Row],[Max Allowed Hours]],"Normal","Underloaded"))</f>
        <v>Overloaded</v>
      </c>
    </row>
    <row r="32" spans="1:14" x14ac:dyDescent="0.3">
      <c r="A32" s="7" t="s">
        <v>184</v>
      </c>
      <c r="B32" s="7" t="s">
        <v>406</v>
      </c>
      <c r="C32" s="7" t="s">
        <v>114</v>
      </c>
      <c r="D32" s="7" t="s">
        <v>356</v>
      </c>
      <c r="E32" s="7" t="s">
        <v>363</v>
      </c>
      <c r="F32" s="13">
        <v>21</v>
      </c>
      <c r="G32" s="7" t="s">
        <v>358</v>
      </c>
      <c r="H32" s="7">
        <v>2025</v>
      </c>
      <c r="I32" s="14">
        <v>10</v>
      </c>
      <c r="J32" s="7">
        <f>COUNTIF(Table6[Faculty ID],Table1[[#This Row],[Faculty ID]])</f>
        <v>4</v>
      </c>
      <c r="K32" s="7">
        <f>SUMIF(Table6[Faculty ID],Table1[[#This Row],[Faculty ID]],Table6[Duration (hrs)])</f>
        <v>5</v>
      </c>
      <c r="L32" s="7">
        <f>SUMIFS(Table6[Duration (hrs)],Table6[Faculty ID],Table1[[#This Row],[Faculty ID]],Table6[Is Lab],"Yes")</f>
        <v>2</v>
      </c>
      <c r="M32" s="7">
        <f>Table1[[#This Row],[Theory hrs/wk]]+Table1[[#This Row],[ Lab hrs/wk]]</f>
        <v>7</v>
      </c>
      <c r="N32" s="7" t="str">
        <f>IF(Table1[[#This Row],[Total Contact Hours]]&gt;Table1[[#This Row],[Max Allowed Hours]],"Overloaded",IF(Table1[[#This Row],[Total Contact Hours]]=Table1[[#This Row],[Max Allowed Hours]],"Normal","Underloaded"))</f>
        <v>Underloaded</v>
      </c>
    </row>
    <row r="33" spans="1:14" x14ac:dyDescent="0.3">
      <c r="A33" s="7" t="s">
        <v>407</v>
      </c>
      <c r="B33" s="7" t="s">
        <v>408</v>
      </c>
      <c r="C33" s="7" t="s">
        <v>46</v>
      </c>
      <c r="D33" s="7" t="s">
        <v>356</v>
      </c>
      <c r="E33" s="7" t="s">
        <v>357</v>
      </c>
      <c r="F33" s="13">
        <v>20</v>
      </c>
      <c r="G33" s="7" t="s">
        <v>367</v>
      </c>
      <c r="H33" s="7">
        <v>2024</v>
      </c>
      <c r="I33" s="15">
        <v>10</v>
      </c>
      <c r="J33" s="7">
        <f>COUNTIF(Table6[Faculty ID],Table1[[#This Row],[Faculty ID]])</f>
        <v>0</v>
      </c>
      <c r="K33" s="7">
        <f>SUMIF(Table6[Faculty ID],Table1[[#This Row],[Faculty ID]],Table6[Duration (hrs)])</f>
        <v>0</v>
      </c>
      <c r="L33" s="7">
        <f>SUMIFS(Table6[Duration (hrs)],Table6[Faculty ID],Table1[[#This Row],[Faculty ID]],Table6[Is Lab],"Yes")</f>
        <v>0</v>
      </c>
      <c r="M33" s="7">
        <f>Table1[[#This Row],[Theory hrs/wk]]+Table1[[#This Row],[ Lab hrs/wk]]</f>
        <v>0</v>
      </c>
      <c r="N33" s="7" t="str">
        <f>IF(Table1[[#This Row],[Total Contact Hours]]&gt;Table1[[#This Row],[Max Allowed Hours]],"Overloaded",IF(Table1[[#This Row],[Total Contact Hours]]=Table1[[#This Row],[Max Allowed Hours]],"Normal","Underloaded"))</f>
        <v>Underloaded</v>
      </c>
    </row>
    <row r="34" spans="1:14" x14ac:dyDescent="0.3">
      <c r="A34" s="7" t="s">
        <v>139</v>
      </c>
      <c r="B34" s="7" t="s">
        <v>409</v>
      </c>
      <c r="C34" s="7" t="s">
        <v>114</v>
      </c>
      <c r="D34" s="7" t="s">
        <v>365</v>
      </c>
      <c r="E34" s="7" t="s">
        <v>381</v>
      </c>
      <c r="F34" s="13">
        <v>3</v>
      </c>
      <c r="G34" s="7" t="s">
        <v>358</v>
      </c>
      <c r="H34" s="7">
        <v>2025</v>
      </c>
      <c r="I34" s="14">
        <v>8</v>
      </c>
      <c r="J34" s="7">
        <f>COUNTIF(Table6[Faculty ID],Table1[[#This Row],[Faculty ID]])</f>
        <v>1</v>
      </c>
      <c r="K34" s="7">
        <f>SUMIF(Table6[Faculty ID],Table1[[#This Row],[Faculty ID]],Table6[Duration (hrs)])</f>
        <v>2</v>
      </c>
      <c r="L34" s="7">
        <f>SUMIFS(Table6[Duration (hrs)],Table6[Faculty ID],Table1[[#This Row],[Faculty ID]],Table6[Is Lab],"Yes")</f>
        <v>2</v>
      </c>
      <c r="M34" s="7">
        <f>Table1[[#This Row],[Theory hrs/wk]]+Table1[[#This Row],[ Lab hrs/wk]]</f>
        <v>4</v>
      </c>
      <c r="N34" s="7" t="str">
        <f>IF(Table1[[#This Row],[Total Contact Hours]]&gt;Table1[[#This Row],[Max Allowed Hours]],"Overloaded",IF(Table1[[#This Row],[Total Contact Hours]]=Table1[[#This Row],[Max Allowed Hours]],"Normal","Underloaded"))</f>
        <v>Underloaded</v>
      </c>
    </row>
    <row r="35" spans="1:14" x14ac:dyDescent="0.3">
      <c r="A35" s="7" t="s">
        <v>195</v>
      </c>
      <c r="B35" s="7" t="s">
        <v>410</v>
      </c>
      <c r="C35" s="7" t="s">
        <v>38</v>
      </c>
      <c r="D35" s="7" t="s">
        <v>390</v>
      </c>
      <c r="E35" s="7" t="s">
        <v>375</v>
      </c>
      <c r="F35" s="13">
        <v>1</v>
      </c>
      <c r="G35" s="7" t="s">
        <v>367</v>
      </c>
      <c r="H35" s="7">
        <v>2025</v>
      </c>
      <c r="I35" s="15">
        <v>10</v>
      </c>
      <c r="J35" s="7">
        <f>COUNTIF(Table6[Faculty ID],Table1[[#This Row],[Faculty ID]])</f>
        <v>0</v>
      </c>
      <c r="K35" s="7">
        <f>SUMIF(Table6[Faculty ID],Table1[[#This Row],[Faculty ID]],Table6[Duration (hrs)])</f>
        <v>0</v>
      </c>
      <c r="L35" s="7">
        <f>SUMIFS(Table6[Duration (hrs)],Table6[Faculty ID],Table1[[#This Row],[Faculty ID]],Table6[Is Lab],"Yes")</f>
        <v>0</v>
      </c>
      <c r="M35" s="7">
        <f>Table1[[#This Row],[Theory hrs/wk]]+Table1[[#This Row],[ Lab hrs/wk]]</f>
        <v>0</v>
      </c>
      <c r="N35" s="7" t="str">
        <f>IF(Table1[[#This Row],[Total Contact Hours]]&gt;Table1[[#This Row],[Max Allowed Hours]],"Overloaded",IF(Table1[[#This Row],[Total Contact Hours]]=Table1[[#This Row],[Max Allowed Hours]],"Normal","Underloaded"))</f>
        <v>Underloaded</v>
      </c>
    </row>
    <row r="36" spans="1:14" x14ac:dyDescent="0.3">
      <c r="A36" s="7" t="s">
        <v>202</v>
      </c>
      <c r="B36" s="7" t="s">
        <v>411</v>
      </c>
      <c r="C36" s="7" t="s">
        <v>198</v>
      </c>
      <c r="D36" s="7" t="s">
        <v>380</v>
      </c>
      <c r="E36" s="7" t="s">
        <v>375</v>
      </c>
      <c r="F36" s="13">
        <v>25</v>
      </c>
      <c r="G36" s="7" t="s">
        <v>367</v>
      </c>
      <c r="H36" s="7">
        <v>2024</v>
      </c>
      <c r="I36" s="14">
        <v>10</v>
      </c>
      <c r="J36" s="7">
        <f>COUNTIF(Table6[Faculty ID],Table1[[#This Row],[Faculty ID]])</f>
        <v>3</v>
      </c>
      <c r="K36" s="7">
        <f>SUMIF(Table6[Faculty ID],Table1[[#This Row],[Faculty ID]],Table6[Duration (hrs)])</f>
        <v>6</v>
      </c>
      <c r="L36" s="7">
        <f>SUMIFS(Table6[Duration (hrs)],Table6[Faculty ID],Table1[[#This Row],[Faculty ID]],Table6[Is Lab],"Yes")</f>
        <v>6</v>
      </c>
      <c r="M36" s="7">
        <f>Table1[[#This Row],[Theory hrs/wk]]+Table1[[#This Row],[ Lab hrs/wk]]</f>
        <v>12</v>
      </c>
      <c r="N36" s="7" t="str">
        <f>IF(Table1[[#This Row],[Total Contact Hours]]&gt;Table1[[#This Row],[Max Allowed Hours]],"Overloaded",IF(Table1[[#This Row],[Total Contact Hours]]=Table1[[#This Row],[Max Allowed Hours]],"Normal","Underloaded"))</f>
        <v>Overloaded</v>
      </c>
    </row>
    <row r="37" spans="1:14" x14ac:dyDescent="0.3">
      <c r="A37" s="7" t="s">
        <v>103</v>
      </c>
      <c r="B37" s="7" t="s">
        <v>412</v>
      </c>
      <c r="C37" s="7" t="s">
        <v>38</v>
      </c>
      <c r="D37" s="7" t="s">
        <v>390</v>
      </c>
      <c r="E37" s="7" t="s">
        <v>375</v>
      </c>
      <c r="F37" s="13">
        <v>17</v>
      </c>
      <c r="G37" s="7" t="s">
        <v>367</v>
      </c>
      <c r="H37" s="7">
        <v>2023</v>
      </c>
      <c r="I37" s="15">
        <v>10</v>
      </c>
      <c r="J37" s="7">
        <f>COUNTIF(Table6[Faculty ID],Table1[[#This Row],[Faculty ID]])</f>
        <v>4</v>
      </c>
      <c r="K37" s="7">
        <f>SUMIF(Table6[Faculty ID],Table1[[#This Row],[Faculty ID]],Table6[Duration (hrs)])</f>
        <v>6</v>
      </c>
      <c r="L37" s="7">
        <f>SUMIFS(Table6[Duration (hrs)],Table6[Faculty ID],Table1[[#This Row],[Faculty ID]],Table6[Is Lab],"Yes")</f>
        <v>4</v>
      </c>
      <c r="M37" s="7">
        <f>Table1[[#This Row],[Theory hrs/wk]]+Table1[[#This Row],[ Lab hrs/wk]]</f>
        <v>10</v>
      </c>
      <c r="N37" s="7" t="str">
        <f>IF(Table1[[#This Row],[Total Contact Hours]]&gt;Table1[[#This Row],[Max Allowed Hours]],"Overloaded",IF(Table1[[#This Row],[Total Contact Hours]]=Table1[[#This Row],[Max Allowed Hours]],"Normal","Underloaded"))</f>
        <v>Normal</v>
      </c>
    </row>
    <row r="38" spans="1:14" x14ac:dyDescent="0.3">
      <c r="A38" s="7" t="s">
        <v>69</v>
      </c>
      <c r="B38" s="7" t="s">
        <v>413</v>
      </c>
      <c r="C38" s="7" t="s">
        <v>46</v>
      </c>
      <c r="D38" s="7" t="s">
        <v>362</v>
      </c>
      <c r="E38" s="7" t="s">
        <v>363</v>
      </c>
      <c r="F38" s="13">
        <v>7</v>
      </c>
      <c r="G38" s="7" t="s">
        <v>367</v>
      </c>
      <c r="H38" s="7">
        <v>2025</v>
      </c>
      <c r="I38" s="14">
        <v>10</v>
      </c>
      <c r="J38" s="7">
        <f>COUNTIF(Table6[Faculty ID],Table1[[#This Row],[Faculty ID]])</f>
        <v>2</v>
      </c>
      <c r="K38" s="7">
        <f>SUMIF(Table6[Faculty ID],Table1[[#This Row],[Faculty ID]],Table6[Duration (hrs)])</f>
        <v>2</v>
      </c>
      <c r="L38" s="7">
        <f>SUMIFS(Table6[Duration (hrs)],Table6[Faculty ID],Table1[[#This Row],[Faculty ID]],Table6[Is Lab],"Yes")</f>
        <v>0</v>
      </c>
      <c r="M38" s="7">
        <f>Table1[[#This Row],[Theory hrs/wk]]+Table1[[#This Row],[ Lab hrs/wk]]</f>
        <v>2</v>
      </c>
      <c r="N38" s="7" t="str">
        <f>IF(Table1[[#This Row],[Total Contact Hours]]&gt;Table1[[#This Row],[Max Allowed Hours]],"Overloaded",IF(Table1[[#This Row],[Total Contact Hours]]=Table1[[#This Row],[Max Allowed Hours]],"Normal","Underloaded"))</f>
        <v>Underloaded</v>
      </c>
    </row>
    <row r="39" spans="1:14" x14ac:dyDescent="0.3">
      <c r="A39" s="7" t="s">
        <v>75</v>
      </c>
      <c r="B39" s="7" t="s">
        <v>414</v>
      </c>
      <c r="C39" s="7" t="s">
        <v>38</v>
      </c>
      <c r="D39" s="7" t="s">
        <v>390</v>
      </c>
      <c r="E39" s="7" t="s">
        <v>381</v>
      </c>
      <c r="F39" s="13">
        <v>20</v>
      </c>
      <c r="G39" s="7" t="s">
        <v>367</v>
      </c>
      <c r="H39" s="7">
        <v>2023</v>
      </c>
      <c r="I39" s="15">
        <v>10</v>
      </c>
      <c r="J39" s="7">
        <f>COUNTIF(Table6[Faculty ID],Table1[[#This Row],[Faculty ID]])</f>
        <v>2</v>
      </c>
      <c r="K39" s="7">
        <f>SUMIF(Table6[Faculty ID],Table1[[#This Row],[Faculty ID]],Table6[Duration (hrs)])</f>
        <v>3</v>
      </c>
      <c r="L39" s="7">
        <f>SUMIFS(Table6[Duration (hrs)],Table6[Faculty ID],Table1[[#This Row],[Faculty ID]],Table6[Is Lab],"Yes")</f>
        <v>2</v>
      </c>
      <c r="M39" s="7">
        <f>Table1[[#This Row],[Theory hrs/wk]]+Table1[[#This Row],[ Lab hrs/wk]]</f>
        <v>5</v>
      </c>
      <c r="N39" s="7" t="str">
        <f>IF(Table1[[#This Row],[Total Contact Hours]]&gt;Table1[[#This Row],[Max Allowed Hours]],"Overloaded",IF(Table1[[#This Row],[Total Contact Hours]]=Table1[[#This Row],[Max Allowed Hours]],"Normal","Underloaded"))</f>
        <v>Underloaded</v>
      </c>
    </row>
    <row r="40" spans="1:14" x14ac:dyDescent="0.3">
      <c r="A40" s="7" t="s">
        <v>301</v>
      </c>
      <c r="B40" s="7" t="s">
        <v>415</v>
      </c>
      <c r="C40" s="7" t="s">
        <v>164</v>
      </c>
      <c r="D40" s="7" t="s">
        <v>380</v>
      </c>
      <c r="E40" s="7" t="s">
        <v>381</v>
      </c>
      <c r="F40" s="13">
        <v>1</v>
      </c>
      <c r="G40" s="7" t="s">
        <v>358</v>
      </c>
      <c r="H40" s="7">
        <v>2023</v>
      </c>
      <c r="I40" s="14">
        <v>10</v>
      </c>
      <c r="J40" s="7">
        <f>COUNTIF(Table6[Faculty ID],Table1[[#This Row],[Faculty ID]])</f>
        <v>1</v>
      </c>
      <c r="K40" s="7">
        <f>SUMIF(Table6[Faculty ID],Table1[[#This Row],[Faculty ID]],Table6[Duration (hrs)])</f>
        <v>2</v>
      </c>
      <c r="L40" s="7">
        <f>SUMIFS(Table6[Duration (hrs)],Table6[Faculty ID],Table1[[#This Row],[Faculty ID]],Table6[Is Lab],"Yes")</f>
        <v>2</v>
      </c>
      <c r="M40" s="7">
        <f>Table1[[#This Row],[Theory hrs/wk]]+Table1[[#This Row],[ Lab hrs/wk]]</f>
        <v>4</v>
      </c>
      <c r="N40" s="7" t="str">
        <f>IF(Table1[[#This Row],[Total Contact Hours]]&gt;Table1[[#This Row],[Max Allowed Hours]],"Overloaded",IF(Table1[[#This Row],[Total Contact Hours]]=Table1[[#This Row],[Max Allowed Hours]],"Normal","Underloaded"))</f>
        <v>Underloaded</v>
      </c>
    </row>
    <row r="41" spans="1:14" x14ac:dyDescent="0.3">
      <c r="A41" s="7" t="s">
        <v>251</v>
      </c>
      <c r="B41" s="7" t="s">
        <v>416</v>
      </c>
      <c r="C41" s="7" t="s">
        <v>114</v>
      </c>
      <c r="D41" s="7" t="s">
        <v>356</v>
      </c>
      <c r="E41" s="7" t="s">
        <v>357</v>
      </c>
      <c r="F41" s="13">
        <v>25</v>
      </c>
      <c r="G41" s="7" t="s">
        <v>367</v>
      </c>
      <c r="H41" s="7">
        <v>2024</v>
      </c>
      <c r="I41" s="14">
        <v>10</v>
      </c>
      <c r="J41" s="7">
        <f>COUNTIF(Table6[Faculty ID],Table1[[#This Row],[Faculty ID]])</f>
        <v>2</v>
      </c>
      <c r="K41" s="7">
        <f>SUMIF(Table6[Faculty ID],Table1[[#This Row],[Faculty ID]],Table6[Duration (hrs)])</f>
        <v>2</v>
      </c>
      <c r="L41" s="7">
        <f>SUMIFS(Table6[Duration (hrs)],Table6[Faculty ID],Table1[[#This Row],[Faculty ID]],Table6[Is Lab],"Yes")</f>
        <v>0</v>
      </c>
      <c r="M41" s="7">
        <f>Table1[[#This Row],[Theory hrs/wk]]+Table1[[#This Row],[ Lab hrs/wk]]</f>
        <v>2</v>
      </c>
      <c r="N41" s="7" t="str">
        <f>IF(Table1[[#This Row],[Total Contact Hours]]&gt;Table1[[#This Row],[Max Allowed Hours]],"Overloaded",IF(Table1[[#This Row],[Total Contact Hours]]=Table1[[#This Row],[Max Allowed Hours]],"Normal","Underloaded"))</f>
        <v>Underloaded</v>
      </c>
    </row>
    <row r="42" spans="1:14" x14ac:dyDescent="0.3">
      <c r="A42" s="7" t="s">
        <v>31</v>
      </c>
      <c r="B42" s="7" t="s">
        <v>417</v>
      </c>
      <c r="C42" s="7" t="s">
        <v>38</v>
      </c>
      <c r="D42" s="7" t="s">
        <v>362</v>
      </c>
      <c r="E42" s="7" t="s">
        <v>366</v>
      </c>
      <c r="F42" s="13">
        <v>10</v>
      </c>
      <c r="G42" s="7" t="s">
        <v>358</v>
      </c>
      <c r="H42" s="7">
        <v>2025</v>
      </c>
      <c r="I42" s="15">
        <v>10</v>
      </c>
      <c r="J42" s="7">
        <f>COUNTIF(Table6[Faculty ID],Table1[[#This Row],[Faculty ID]])</f>
        <v>3</v>
      </c>
      <c r="K42" s="7">
        <f>SUMIF(Table6[Faculty ID],Table1[[#This Row],[Faculty ID]],Table6[Duration (hrs)])</f>
        <v>5</v>
      </c>
      <c r="L42" s="7">
        <f>SUMIFS(Table6[Duration (hrs)],Table6[Faculty ID],Table1[[#This Row],[Faculty ID]],Table6[Is Lab],"Yes")</f>
        <v>4</v>
      </c>
      <c r="M42" s="7">
        <f>Table1[[#This Row],[Theory hrs/wk]]+Table1[[#This Row],[ Lab hrs/wk]]</f>
        <v>9</v>
      </c>
      <c r="N42" s="7" t="str">
        <f>IF(Table1[[#This Row],[Total Contact Hours]]&gt;Table1[[#This Row],[Max Allowed Hours]],"Overloaded",IF(Table1[[#This Row],[Total Contact Hours]]=Table1[[#This Row],[Max Allowed Hours]],"Normal","Underloaded"))</f>
        <v>Underloaded</v>
      </c>
    </row>
    <row r="43" spans="1:14" x14ac:dyDescent="0.3">
      <c r="A43" s="7" t="s">
        <v>293</v>
      </c>
      <c r="B43" s="7" t="s">
        <v>419</v>
      </c>
      <c r="C43" s="7" t="s">
        <v>114</v>
      </c>
      <c r="D43" s="7" t="s">
        <v>362</v>
      </c>
      <c r="E43" s="7" t="s">
        <v>366</v>
      </c>
      <c r="F43" s="13">
        <v>10</v>
      </c>
      <c r="G43" s="7" t="s">
        <v>358</v>
      </c>
      <c r="H43" s="7">
        <v>2025</v>
      </c>
      <c r="I43" s="15">
        <v>10</v>
      </c>
      <c r="J43" s="7">
        <f>COUNTIF(Table6[Faculty ID],Table1[[#This Row],[Faculty ID]])</f>
        <v>1</v>
      </c>
      <c r="K43" s="7">
        <f>SUMIF(Table6[Faculty ID],Table1[[#This Row],[Faculty ID]],Table6[Duration (hrs)])</f>
        <v>2</v>
      </c>
      <c r="L43" s="7">
        <f>SUMIFS(Table6[Duration (hrs)],Table6[Faculty ID],Table1[[#This Row],[Faculty ID]],Table6[Is Lab],"Yes")</f>
        <v>2</v>
      </c>
      <c r="M43" s="7">
        <f>Table1[[#This Row],[Theory hrs/wk]]+Table1[[#This Row],[ Lab hrs/wk]]</f>
        <v>4</v>
      </c>
      <c r="N43" s="7" t="str">
        <f>IF(Table1[[#This Row],[Total Contact Hours]]&gt;Table1[[#This Row],[Max Allowed Hours]],"Overloaded",IF(Table1[[#This Row],[Total Contact Hours]]=Table1[[#This Row],[Max Allowed Hours]],"Normal","Underloaded"))</f>
        <v>Underloaded</v>
      </c>
    </row>
    <row r="44" spans="1:14" x14ac:dyDescent="0.3">
      <c r="A44" s="7" t="s">
        <v>420</v>
      </c>
      <c r="B44" s="7" t="s">
        <v>421</v>
      </c>
      <c r="C44" s="7" t="s">
        <v>46</v>
      </c>
      <c r="D44" s="7" t="s">
        <v>365</v>
      </c>
      <c r="E44" s="7" t="s">
        <v>375</v>
      </c>
      <c r="F44" s="13">
        <v>12</v>
      </c>
      <c r="G44" s="7" t="s">
        <v>367</v>
      </c>
      <c r="H44" s="7">
        <v>2024</v>
      </c>
      <c r="I44" s="14">
        <v>8</v>
      </c>
      <c r="J44" s="7">
        <f>COUNTIF(Table6[Faculty ID],Table1[[#This Row],[Faculty ID]])</f>
        <v>0</v>
      </c>
      <c r="K44" s="7">
        <f>SUMIF(Table6[Faculty ID],Table1[[#This Row],[Faculty ID]],Table6[Duration (hrs)])</f>
        <v>0</v>
      </c>
      <c r="L44" s="7">
        <f>SUMIFS(Table6[Duration (hrs)],Table6[Faculty ID],Table1[[#This Row],[Faculty ID]],Table6[Is Lab],"Yes")</f>
        <v>0</v>
      </c>
      <c r="M44" s="7">
        <f>Table1[[#This Row],[Theory hrs/wk]]+Table1[[#This Row],[ Lab hrs/wk]]</f>
        <v>0</v>
      </c>
      <c r="N44" s="7" t="str">
        <f>IF(Table1[[#This Row],[Total Contact Hours]]&gt;Table1[[#This Row],[Max Allowed Hours]],"Overloaded",IF(Table1[[#This Row],[Total Contact Hours]]=Table1[[#This Row],[Max Allowed Hours]],"Normal","Underloaded"))</f>
        <v>Underloaded</v>
      </c>
    </row>
    <row r="45" spans="1:14" x14ac:dyDescent="0.3">
      <c r="A45" s="7" t="s">
        <v>422</v>
      </c>
      <c r="B45" s="7" t="s">
        <v>423</v>
      </c>
      <c r="C45" s="7" t="s">
        <v>198</v>
      </c>
      <c r="D45" s="7" t="s">
        <v>380</v>
      </c>
      <c r="E45" s="7" t="s">
        <v>363</v>
      </c>
      <c r="F45" s="13">
        <v>27</v>
      </c>
      <c r="G45" s="7" t="s">
        <v>358</v>
      </c>
      <c r="H45" s="7">
        <v>2025</v>
      </c>
      <c r="I45" s="15">
        <v>10</v>
      </c>
      <c r="J45" s="7">
        <f>COUNTIF(Table6[Faculty ID],Table1[[#This Row],[Faculty ID]])</f>
        <v>0</v>
      </c>
      <c r="K45" s="7">
        <f>SUMIF(Table6[Faculty ID],Table1[[#This Row],[Faculty ID]],Table6[Duration (hrs)])</f>
        <v>0</v>
      </c>
      <c r="L45" s="7">
        <f>SUMIFS(Table6[Duration (hrs)],Table6[Faculty ID],Table1[[#This Row],[Faculty ID]],Table6[Is Lab],"Yes")</f>
        <v>0</v>
      </c>
      <c r="M45" s="7">
        <f>Table1[[#This Row],[Theory hrs/wk]]+Table1[[#This Row],[ Lab hrs/wk]]</f>
        <v>0</v>
      </c>
      <c r="N45" s="7" t="str">
        <f>IF(Table1[[#This Row],[Total Contact Hours]]&gt;Table1[[#This Row],[Max Allowed Hours]],"Overloaded",IF(Table1[[#This Row],[Total Contact Hours]]=Table1[[#This Row],[Max Allowed Hours]],"Normal","Underloaded"))</f>
        <v>Underloaded</v>
      </c>
    </row>
    <row r="46" spans="1:14" x14ac:dyDescent="0.3">
      <c r="A46" s="7" t="s">
        <v>19</v>
      </c>
      <c r="B46" s="7" t="s">
        <v>424</v>
      </c>
      <c r="C46" s="7" t="s">
        <v>114</v>
      </c>
      <c r="D46" s="7" t="s">
        <v>390</v>
      </c>
      <c r="E46" s="7" t="s">
        <v>375</v>
      </c>
      <c r="F46" s="13">
        <v>20</v>
      </c>
      <c r="G46" s="7" t="s">
        <v>358</v>
      </c>
      <c r="H46" s="7">
        <v>2025</v>
      </c>
      <c r="I46" s="15">
        <v>10</v>
      </c>
      <c r="J46" s="7">
        <f>COUNTIF(Table6[Faculty ID],Table1[[#This Row],[Faculty ID]])</f>
        <v>3</v>
      </c>
      <c r="K46" s="7">
        <f>SUMIF(Table6[Faculty ID],Table1[[#This Row],[Faculty ID]],Table6[Duration (hrs)])</f>
        <v>4</v>
      </c>
      <c r="L46" s="7">
        <f>SUMIFS(Table6[Duration (hrs)],Table6[Faculty ID],Table1[[#This Row],[Faculty ID]],Table6[Is Lab],"Yes")</f>
        <v>2</v>
      </c>
      <c r="M46" s="7">
        <f>Table1[[#This Row],[Theory hrs/wk]]+Table1[[#This Row],[ Lab hrs/wk]]</f>
        <v>6</v>
      </c>
      <c r="N46" s="7" t="str">
        <f>IF(Table1[[#This Row],[Total Contact Hours]]&gt;Table1[[#This Row],[Max Allowed Hours]],"Overloaded",IF(Table1[[#This Row],[Total Contact Hours]]=Table1[[#This Row],[Max Allowed Hours]],"Normal","Underloaded"))</f>
        <v>Underloaded</v>
      </c>
    </row>
    <row r="47" spans="1:14" x14ac:dyDescent="0.3">
      <c r="A47" s="7" t="s">
        <v>41</v>
      </c>
      <c r="B47" s="7" t="s">
        <v>425</v>
      </c>
      <c r="C47" s="7" t="s">
        <v>66</v>
      </c>
      <c r="D47" s="7" t="s">
        <v>365</v>
      </c>
      <c r="E47" s="7" t="s">
        <v>363</v>
      </c>
      <c r="F47" s="13">
        <v>22</v>
      </c>
      <c r="G47" s="7" t="s">
        <v>358</v>
      </c>
      <c r="H47" s="7">
        <v>2024</v>
      </c>
      <c r="I47" s="14">
        <v>8</v>
      </c>
      <c r="J47" s="7">
        <f>COUNTIF(Table6[Faculty ID],Table1[[#This Row],[Faculty ID]])</f>
        <v>2</v>
      </c>
      <c r="K47" s="7">
        <f>SUMIF(Table6[Faculty ID],Table1[[#This Row],[Faculty ID]],Table6[Duration (hrs)])</f>
        <v>3</v>
      </c>
      <c r="L47" s="7">
        <f>SUMIFS(Table6[Duration (hrs)],Table6[Faculty ID],Table1[[#This Row],[Faculty ID]],Table6[Is Lab],"Yes")</f>
        <v>2</v>
      </c>
      <c r="M47" s="7">
        <f>Table1[[#This Row],[Theory hrs/wk]]+Table1[[#This Row],[ Lab hrs/wk]]</f>
        <v>5</v>
      </c>
      <c r="N47" s="7" t="str">
        <f>IF(Table1[[#This Row],[Total Contact Hours]]&gt;Table1[[#This Row],[Max Allowed Hours]],"Overloaded",IF(Table1[[#This Row],[Total Contact Hours]]=Table1[[#This Row],[Max Allowed Hours]],"Normal","Underloaded"))</f>
        <v>Underloaded</v>
      </c>
    </row>
    <row r="48" spans="1:14" x14ac:dyDescent="0.3">
      <c r="A48" s="7" t="s">
        <v>150</v>
      </c>
      <c r="B48" s="7" t="s">
        <v>426</v>
      </c>
      <c r="C48" s="7" t="s">
        <v>198</v>
      </c>
      <c r="D48" s="7" t="s">
        <v>390</v>
      </c>
      <c r="E48" s="7" t="s">
        <v>378</v>
      </c>
      <c r="F48" s="13">
        <v>21</v>
      </c>
      <c r="G48" s="7" t="s">
        <v>367</v>
      </c>
      <c r="H48" s="7">
        <v>2025</v>
      </c>
      <c r="I48" s="15">
        <v>10</v>
      </c>
      <c r="J48" s="7">
        <f>COUNTIF(Table6[Faculty ID],Table1[[#This Row],[Faculty ID]])</f>
        <v>3</v>
      </c>
      <c r="K48" s="7">
        <f>SUMIF(Table6[Faculty ID],Table1[[#This Row],[Faculty ID]],Table6[Duration (hrs)])</f>
        <v>4</v>
      </c>
      <c r="L48" s="7">
        <f>SUMIFS(Table6[Duration (hrs)],Table6[Faculty ID],Table1[[#This Row],[Faculty ID]],Table6[Is Lab],"Yes")</f>
        <v>2</v>
      </c>
      <c r="M48" s="7">
        <f>Table1[[#This Row],[Theory hrs/wk]]+Table1[[#This Row],[ Lab hrs/wk]]</f>
        <v>6</v>
      </c>
      <c r="N48" s="7" t="str">
        <f>IF(Table1[[#This Row],[Total Contact Hours]]&gt;Table1[[#This Row],[Max Allowed Hours]],"Overloaded",IF(Table1[[#This Row],[Total Contact Hours]]=Table1[[#This Row],[Max Allowed Hours]],"Normal","Underloaded"))</f>
        <v>Underloaded</v>
      </c>
    </row>
    <row r="49" spans="6:6" x14ac:dyDescent="0.3">
      <c r="F49"/>
    </row>
    <row r="50" spans="6:6" x14ac:dyDescent="0.3">
      <c r="F50"/>
    </row>
    <row r="51" spans="6:6" x14ac:dyDescent="0.3">
      <c r="F51"/>
    </row>
  </sheetData>
  <mergeCells count="1">
    <mergeCell ref="P8:Q9"/>
  </mergeCells>
  <conditionalFormatting sqref="E1:E48 E52:E1048576">
    <cfRule type="cellIs" dxfId="25" priority="5" operator="equal">
      <formula>"Unknown"</formula>
    </cfRule>
  </conditionalFormatting>
  <conditionalFormatting sqref="E1:F48 E52:F1048576">
    <cfRule type="cellIs" dxfId="24" priority="3" operator="equal">
      <formula>"Unknown"</formula>
    </cfRule>
  </conditionalFormatting>
  <conditionalFormatting sqref="N1:N48 N52:N1048576">
    <cfRule type="cellIs" dxfId="23" priority="1" operator="equal">
      <formula>"Normal"</formula>
    </cfRule>
    <cfRule type="cellIs" dxfId="22" priority="2" operator="equal">
      <formula>"Overloaded"</formula>
    </cfRule>
  </conditionalFormatting>
  <hyperlinks>
    <hyperlink ref="P8" location="Index!A1" display="Index!A1" xr:uid="{77B6F5C2-DEEC-4CE9-A89F-3F908BA5ED18}"/>
  </hyperlink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4B7C3-9D71-4E94-8327-BD9619C3535A}">
  <sheetPr codeName="Sheet8"/>
  <dimension ref="A1:F41"/>
  <sheetViews>
    <sheetView workbookViewId="0">
      <selection activeCell="E8" sqref="E8:F9"/>
    </sheetView>
  </sheetViews>
  <sheetFormatPr defaultRowHeight="14.4" x14ac:dyDescent="0.3"/>
  <cols>
    <col min="1" max="1" width="10" customWidth="1"/>
    <col min="2" max="2" width="18" customWidth="1"/>
    <col min="3" max="3" width="18.88671875" bestFit="1" customWidth="1"/>
  </cols>
  <sheetData>
    <row r="1" spans="1:6" x14ac:dyDescent="0.3">
      <c r="A1" s="18" t="s">
        <v>512</v>
      </c>
      <c r="B1" s="18" t="s">
        <v>7</v>
      </c>
      <c r="C1" s="18" t="s">
        <v>558</v>
      </c>
    </row>
    <row r="2" spans="1:6" x14ac:dyDescent="0.3">
      <c r="A2" s="16" t="s">
        <v>84</v>
      </c>
      <c r="B2" s="16" t="s">
        <v>513</v>
      </c>
      <c r="C2" s="17">
        <v>4</v>
      </c>
    </row>
    <row r="3" spans="1:6" x14ac:dyDescent="0.3">
      <c r="A3" s="16" t="s">
        <v>224</v>
      </c>
      <c r="B3" s="16" t="s">
        <v>21</v>
      </c>
      <c r="C3" s="17">
        <v>4</v>
      </c>
    </row>
    <row r="4" spans="1:6" x14ac:dyDescent="0.3">
      <c r="A4" s="16" t="s">
        <v>227</v>
      </c>
      <c r="B4" s="16" t="s">
        <v>21</v>
      </c>
      <c r="C4" s="17">
        <v>5</v>
      </c>
    </row>
    <row r="5" spans="1:6" x14ac:dyDescent="0.3">
      <c r="A5" s="16" t="s">
        <v>205</v>
      </c>
      <c r="B5" s="16" t="s">
        <v>513</v>
      </c>
      <c r="C5" s="17">
        <v>5</v>
      </c>
    </row>
    <row r="6" spans="1:6" x14ac:dyDescent="0.3">
      <c r="A6" s="16" t="s">
        <v>189</v>
      </c>
      <c r="B6" s="16" t="s">
        <v>514</v>
      </c>
      <c r="C6" s="17">
        <v>4</v>
      </c>
    </row>
    <row r="7" spans="1:6" x14ac:dyDescent="0.3">
      <c r="A7" s="16" t="s">
        <v>50</v>
      </c>
      <c r="B7" s="16" t="s">
        <v>21</v>
      </c>
      <c r="C7" s="17">
        <v>4</v>
      </c>
    </row>
    <row r="8" spans="1:6" x14ac:dyDescent="0.3">
      <c r="A8" s="16" t="s">
        <v>20</v>
      </c>
      <c r="B8" s="16" t="s">
        <v>514</v>
      </c>
      <c r="C8" s="17">
        <v>5</v>
      </c>
      <c r="E8" s="66" t="s">
        <v>594</v>
      </c>
      <c r="F8" s="67"/>
    </row>
    <row r="9" spans="1:6" x14ac:dyDescent="0.3">
      <c r="A9" s="16" t="s">
        <v>274</v>
      </c>
      <c r="B9" s="16" t="s">
        <v>514</v>
      </c>
      <c r="C9" s="17">
        <v>5</v>
      </c>
      <c r="E9" s="68"/>
      <c r="F9" s="69"/>
    </row>
    <row r="10" spans="1:6" x14ac:dyDescent="0.3">
      <c r="A10" s="16" t="s">
        <v>117</v>
      </c>
      <c r="B10" s="16" t="s">
        <v>514</v>
      </c>
      <c r="C10" s="17">
        <v>5</v>
      </c>
    </row>
    <row r="11" spans="1:6" x14ac:dyDescent="0.3">
      <c r="A11" s="16" t="s">
        <v>155</v>
      </c>
      <c r="B11" s="16" t="s">
        <v>33</v>
      </c>
      <c r="C11" s="17">
        <v>5</v>
      </c>
    </row>
    <row r="12" spans="1:6" x14ac:dyDescent="0.3">
      <c r="A12" s="16" t="s">
        <v>185</v>
      </c>
      <c r="B12" s="16" t="s">
        <v>514</v>
      </c>
      <c r="C12" s="17">
        <v>4</v>
      </c>
    </row>
    <row r="13" spans="1:6" x14ac:dyDescent="0.3">
      <c r="A13" s="16" t="s">
        <v>167</v>
      </c>
      <c r="B13" s="16" t="s">
        <v>33</v>
      </c>
      <c r="C13" s="17">
        <v>4</v>
      </c>
    </row>
    <row r="14" spans="1:6" x14ac:dyDescent="0.3">
      <c r="A14" s="16" t="s">
        <v>98</v>
      </c>
      <c r="B14" s="16" t="s">
        <v>514</v>
      </c>
      <c r="C14" s="17">
        <v>4</v>
      </c>
    </row>
    <row r="15" spans="1:6" x14ac:dyDescent="0.3">
      <c r="A15" s="16" t="s">
        <v>216</v>
      </c>
      <c r="B15" s="16" t="s">
        <v>33</v>
      </c>
      <c r="C15" s="17">
        <v>4</v>
      </c>
    </row>
    <row r="16" spans="1:6" x14ac:dyDescent="0.3">
      <c r="A16" s="16" t="s">
        <v>104</v>
      </c>
      <c r="B16" s="16" t="s">
        <v>21</v>
      </c>
      <c r="C16" s="17">
        <v>4</v>
      </c>
    </row>
    <row r="17" spans="1:3" x14ac:dyDescent="0.3">
      <c r="A17" s="16" t="s">
        <v>294</v>
      </c>
      <c r="B17" s="16" t="s">
        <v>514</v>
      </c>
      <c r="C17" s="17">
        <v>5</v>
      </c>
    </row>
    <row r="18" spans="1:3" x14ac:dyDescent="0.3">
      <c r="A18" s="16" t="s">
        <v>124</v>
      </c>
      <c r="B18" s="16" t="s">
        <v>513</v>
      </c>
      <c r="C18" s="17">
        <v>5</v>
      </c>
    </row>
    <row r="19" spans="1:3" x14ac:dyDescent="0.3">
      <c r="A19" s="16" t="s">
        <v>235</v>
      </c>
      <c r="B19" s="16" t="s">
        <v>513</v>
      </c>
      <c r="C19" s="17">
        <v>4</v>
      </c>
    </row>
    <row r="20" spans="1:3" x14ac:dyDescent="0.3">
      <c r="A20" s="16" t="s">
        <v>270</v>
      </c>
      <c r="B20" s="16" t="s">
        <v>514</v>
      </c>
      <c r="C20" s="17">
        <v>5</v>
      </c>
    </row>
    <row r="21" spans="1:3" x14ac:dyDescent="0.3">
      <c r="A21" s="16" t="s">
        <v>181</v>
      </c>
      <c r="B21" s="16" t="s">
        <v>21</v>
      </c>
      <c r="C21" s="17">
        <v>5</v>
      </c>
    </row>
    <row r="22" spans="1:3" x14ac:dyDescent="0.3">
      <c r="A22" s="16" t="s">
        <v>70</v>
      </c>
      <c r="B22" s="16" t="s">
        <v>513</v>
      </c>
      <c r="C22" s="17">
        <v>4</v>
      </c>
    </row>
    <row r="23" spans="1:3" x14ac:dyDescent="0.3">
      <c r="A23" s="16" t="s">
        <v>42</v>
      </c>
      <c r="B23" s="16" t="s">
        <v>514</v>
      </c>
      <c r="C23" s="17">
        <v>5</v>
      </c>
    </row>
    <row r="24" spans="1:3" x14ac:dyDescent="0.3">
      <c r="A24" s="16" t="s">
        <v>323</v>
      </c>
      <c r="B24" s="16" t="s">
        <v>513</v>
      </c>
      <c r="C24" s="17">
        <v>4</v>
      </c>
    </row>
    <row r="25" spans="1:3" x14ac:dyDescent="0.3">
      <c r="A25" s="16" t="s">
        <v>58</v>
      </c>
      <c r="B25" s="16" t="s">
        <v>21</v>
      </c>
      <c r="C25" s="17">
        <v>5</v>
      </c>
    </row>
    <row r="26" spans="1:3" x14ac:dyDescent="0.3">
      <c r="A26" s="16" t="s">
        <v>64</v>
      </c>
      <c r="B26" s="16" t="s">
        <v>21</v>
      </c>
      <c r="C26" s="17">
        <v>5</v>
      </c>
    </row>
    <row r="27" spans="1:3" x14ac:dyDescent="0.3">
      <c r="A27" s="16" t="s">
        <v>76</v>
      </c>
      <c r="B27" s="16" t="s">
        <v>513</v>
      </c>
      <c r="C27" s="17">
        <v>4</v>
      </c>
    </row>
    <row r="28" spans="1:3" x14ac:dyDescent="0.3">
      <c r="A28" s="16" t="s">
        <v>112</v>
      </c>
      <c r="B28" s="16" t="s">
        <v>33</v>
      </c>
      <c r="C28" s="17">
        <v>5</v>
      </c>
    </row>
    <row r="29" spans="1:3" x14ac:dyDescent="0.3">
      <c r="A29" s="16" t="s">
        <v>172</v>
      </c>
      <c r="B29" s="16" t="s">
        <v>33</v>
      </c>
      <c r="C29" s="17">
        <v>4</v>
      </c>
    </row>
    <row r="30" spans="1:3" x14ac:dyDescent="0.3">
      <c r="A30" s="16" t="s">
        <v>247</v>
      </c>
      <c r="B30" s="16" t="s">
        <v>514</v>
      </c>
      <c r="C30" s="17">
        <v>5</v>
      </c>
    </row>
    <row r="31" spans="1:3" x14ac:dyDescent="0.3">
      <c r="A31" s="16" t="s">
        <v>212</v>
      </c>
      <c r="B31" s="16" t="s">
        <v>21</v>
      </c>
      <c r="C31" s="17">
        <v>5</v>
      </c>
    </row>
    <row r="32" spans="1:3" x14ac:dyDescent="0.3">
      <c r="A32" s="16" t="s">
        <v>221</v>
      </c>
      <c r="B32" s="16" t="s">
        <v>21</v>
      </c>
      <c r="C32" s="17">
        <v>4</v>
      </c>
    </row>
    <row r="33" spans="1:3" x14ac:dyDescent="0.3">
      <c r="A33" s="16" t="s">
        <v>94</v>
      </c>
      <c r="B33" s="16" t="s">
        <v>21</v>
      </c>
      <c r="C33" s="17">
        <v>4</v>
      </c>
    </row>
    <row r="34" spans="1:3" x14ac:dyDescent="0.3">
      <c r="A34" s="16" t="s">
        <v>177</v>
      </c>
      <c r="B34" s="16" t="s">
        <v>21</v>
      </c>
      <c r="C34" s="17">
        <v>4</v>
      </c>
    </row>
    <row r="35" spans="1:3" x14ac:dyDescent="0.3">
      <c r="A35" s="16" t="s">
        <v>144</v>
      </c>
      <c r="B35" s="16" t="s">
        <v>513</v>
      </c>
      <c r="C35" s="17">
        <v>4</v>
      </c>
    </row>
    <row r="36" spans="1:3" x14ac:dyDescent="0.3">
      <c r="A36" s="16" t="s">
        <v>32</v>
      </c>
      <c r="B36" s="16" t="s">
        <v>33</v>
      </c>
      <c r="C36" s="17">
        <v>5</v>
      </c>
    </row>
    <row r="37" spans="1:3" x14ac:dyDescent="0.3">
      <c r="A37" s="16" t="s">
        <v>196</v>
      </c>
      <c r="B37" s="16" t="s">
        <v>21</v>
      </c>
      <c r="C37" s="17">
        <v>4</v>
      </c>
    </row>
    <row r="38" spans="1:3" x14ac:dyDescent="0.3">
      <c r="A38" s="16" t="s">
        <v>339</v>
      </c>
      <c r="B38" s="16" t="s">
        <v>21</v>
      </c>
      <c r="C38" s="17">
        <v>4</v>
      </c>
    </row>
    <row r="39" spans="1:3" x14ac:dyDescent="0.3">
      <c r="A39" s="16" t="s">
        <v>278</v>
      </c>
      <c r="B39" s="16" t="s">
        <v>21</v>
      </c>
      <c r="C39" s="17">
        <v>5</v>
      </c>
    </row>
    <row r="40" spans="1:3" x14ac:dyDescent="0.3">
      <c r="A40" s="16" t="s">
        <v>90</v>
      </c>
      <c r="B40" s="16" t="s">
        <v>21</v>
      </c>
      <c r="C40" s="17">
        <v>5</v>
      </c>
    </row>
    <row r="41" spans="1:3" x14ac:dyDescent="0.3">
      <c r="A41" s="16" t="s">
        <v>515</v>
      </c>
      <c r="B41" s="16" t="s">
        <v>513</v>
      </c>
      <c r="C41" s="17">
        <v>4</v>
      </c>
    </row>
  </sheetData>
  <mergeCells count="1">
    <mergeCell ref="E8:F9"/>
  </mergeCells>
  <hyperlinks>
    <hyperlink ref="E8" location="Index!A1" display="Index!A1" xr:uid="{100770C8-8D7B-4162-ACB4-FAF2EC086491}"/>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57D52-D47D-4872-84EE-F1EDF1E6CAB2}">
  <sheetPr codeName="Sheet9"/>
  <dimension ref="A1:I41"/>
  <sheetViews>
    <sheetView workbookViewId="0">
      <selection activeCell="C4" sqref="C4"/>
    </sheetView>
  </sheetViews>
  <sheetFormatPr defaultRowHeight="14.4" x14ac:dyDescent="0.3"/>
  <cols>
    <col min="1" max="1" width="10.44140625" bestFit="1" customWidth="1"/>
    <col min="2" max="2" width="14.88671875" bestFit="1" customWidth="1"/>
    <col min="3" max="3" width="18.6640625" bestFit="1" customWidth="1"/>
    <col min="4" max="4" width="17.109375" bestFit="1" customWidth="1"/>
    <col min="5" max="5" width="13.5546875" bestFit="1" customWidth="1"/>
    <col min="6" max="6" width="17.44140625" bestFit="1" customWidth="1"/>
  </cols>
  <sheetData>
    <row r="1" spans="1:9" x14ac:dyDescent="0.3">
      <c r="A1" t="s">
        <v>512</v>
      </c>
      <c r="B1" t="s">
        <v>7</v>
      </c>
      <c r="C1" t="s">
        <v>559</v>
      </c>
      <c r="D1" t="s">
        <v>562</v>
      </c>
      <c r="E1" t="s">
        <v>561</v>
      </c>
      <c r="F1" t="s">
        <v>560</v>
      </c>
    </row>
    <row r="2" spans="1:9" x14ac:dyDescent="0.3">
      <c r="A2" s="7" t="s">
        <v>84</v>
      </c>
      <c r="B2" s="7" t="s">
        <v>513</v>
      </c>
      <c r="C2" s="7">
        <v>4</v>
      </c>
      <c r="D2" s="8">
        <f>COUNTIF(Table6[Room ID],Table4[[#This Row],[Room ID]])</f>
        <v>3</v>
      </c>
      <c r="E2" s="8">
        <f>Table4[[#This Row],[Utilised slots/wk]]/Table4[[#This Row],[Available slots/wk]]*100</f>
        <v>75</v>
      </c>
      <c r="F2" s="8" t="str">
        <f>IF(Table4[[#This Row],[Utilisation %]]&lt;50,"Underutilised",IF(Table4[[#This Row],[Utilisation %]]&lt;=100,"Properly utilised","Overutilised"))</f>
        <v>Properly utilised</v>
      </c>
    </row>
    <row r="3" spans="1:9" x14ac:dyDescent="0.3">
      <c r="A3" s="7" t="s">
        <v>224</v>
      </c>
      <c r="B3" s="7" t="s">
        <v>21</v>
      </c>
      <c r="C3" s="7">
        <v>4</v>
      </c>
      <c r="D3" s="7">
        <f>COUNTIF(Table6[Room ID],Table4[[#This Row],[Room ID]])</f>
        <v>1</v>
      </c>
      <c r="E3" s="7">
        <f>Table4[[#This Row],[Utilised slots/wk]]/Table4[[#This Row],[Available slots/wk]]*100</f>
        <v>25</v>
      </c>
      <c r="F3" s="7" t="str">
        <f>IF(Table4[[#This Row],[Utilisation %]]&lt;50,"Underutilised",IF(Table4[[#This Row],[Utilisation %]]&lt;=100,"Properly utilised","Overutilised"))</f>
        <v>Underutilised</v>
      </c>
    </row>
    <row r="4" spans="1:9" x14ac:dyDescent="0.3">
      <c r="A4" s="7" t="s">
        <v>227</v>
      </c>
      <c r="B4" s="7" t="s">
        <v>21</v>
      </c>
      <c r="C4" s="7">
        <v>5</v>
      </c>
      <c r="D4" s="7">
        <f>COUNTIF(Table6[Room ID],Table4[[#This Row],[Room ID]])</f>
        <v>2</v>
      </c>
      <c r="E4" s="7">
        <f>Table4[[#This Row],[Utilised slots/wk]]/Table4[[#This Row],[Available slots/wk]]*100</f>
        <v>40</v>
      </c>
      <c r="F4" s="7" t="str">
        <f>IF(Table4[[#This Row],[Utilisation %]]&lt;50,"Underutilised",IF(Table4[[#This Row],[Utilisation %]]&lt;=100,"Properly utilised","Overutilised"))</f>
        <v>Underutilised</v>
      </c>
    </row>
    <row r="5" spans="1:9" x14ac:dyDescent="0.3">
      <c r="A5" s="7" t="s">
        <v>205</v>
      </c>
      <c r="B5" s="7" t="s">
        <v>513</v>
      </c>
      <c r="C5" s="7">
        <v>5</v>
      </c>
      <c r="D5" s="7">
        <f>COUNTIF(Table6[Room ID],Table4[[#This Row],[Room ID]])</f>
        <v>3</v>
      </c>
      <c r="E5" s="7">
        <f>Table4[[#This Row],[Utilised slots/wk]]/Table4[[#This Row],[Available slots/wk]]*100</f>
        <v>60</v>
      </c>
      <c r="F5" s="7" t="str">
        <f>IF(Table4[[#This Row],[Utilisation %]]&lt;50,"Underutilised",IF(Table4[[#This Row],[Utilisation %]]&lt;=100,"Properly utilised","Overutilised"))</f>
        <v>Properly utilised</v>
      </c>
    </row>
    <row r="6" spans="1:9" x14ac:dyDescent="0.3">
      <c r="A6" s="7" t="s">
        <v>189</v>
      </c>
      <c r="B6" s="7" t="s">
        <v>514</v>
      </c>
      <c r="C6" s="7">
        <v>4</v>
      </c>
      <c r="D6" s="7">
        <f>COUNTIF(Table6[Room ID],Table4[[#This Row],[Room ID]])</f>
        <v>2</v>
      </c>
      <c r="E6" s="7">
        <f>Table4[[#This Row],[Utilised slots/wk]]/Table4[[#This Row],[Available slots/wk]]*100</f>
        <v>50</v>
      </c>
      <c r="F6" s="7" t="str">
        <f>IF(Table4[[#This Row],[Utilisation %]]&lt;50,"Underutilised",IF(Table4[[#This Row],[Utilisation %]]&lt;=100,"Properly utilised","Overutilised"))</f>
        <v>Properly utilised</v>
      </c>
    </row>
    <row r="7" spans="1:9" x14ac:dyDescent="0.3">
      <c r="A7" s="7" t="s">
        <v>50</v>
      </c>
      <c r="B7" s="7" t="s">
        <v>21</v>
      </c>
      <c r="C7" s="7">
        <v>4</v>
      </c>
      <c r="D7" s="7">
        <f>COUNTIF(Table6[Room ID],Table4[[#This Row],[Room ID]])</f>
        <v>2</v>
      </c>
      <c r="E7" s="7">
        <f>Table4[[#This Row],[Utilised slots/wk]]/Table4[[#This Row],[Available slots/wk]]*100</f>
        <v>50</v>
      </c>
      <c r="F7" s="7" t="str">
        <f>IF(Table4[[#This Row],[Utilisation %]]&lt;50,"Underutilised",IF(Table4[[#This Row],[Utilisation %]]&lt;=100,"Properly utilised","Overutilised"))</f>
        <v>Properly utilised</v>
      </c>
      <c r="H7" s="66" t="s">
        <v>594</v>
      </c>
      <c r="I7" s="67"/>
    </row>
    <row r="8" spans="1:9" x14ac:dyDescent="0.3">
      <c r="A8" s="7" t="s">
        <v>20</v>
      </c>
      <c r="B8" s="7" t="s">
        <v>514</v>
      </c>
      <c r="C8" s="7">
        <v>5</v>
      </c>
      <c r="D8" s="7">
        <f>COUNTIF(Table6[Room ID],Table4[[#This Row],[Room ID]])</f>
        <v>6</v>
      </c>
      <c r="E8" s="7">
        <f>Table4[[#This Row],[Utilised slots/wk]]/Table4[[#This Row],[Available slots/wk]]*100</f>
        <v>120</v>
      </c>
      <c r="F8" s="7" t="str">
        <f>IF(Table4[[#This Row],[Utilisation %]]&lt;50,"Underutilised",IF(Table4[[#This Row],[Utilisation %]]&lt;=100,"Properly utilised","Overutilised"))</f>
        <v>Overutilised</v>
      </c>
      <c r="H8" s="68"/>
      <c r="I8" s="69"/>
    </row>
    <row r="9" spans="1:9" x14ac:dyDescent="0.3">
      <c r="A9" s="7" t="s">
        <v>274</v>
      </c>
      <c r="B9" s="7" t="s">
        <v>514</v>
      </c>
      <c r="C9" s="7">
        <v>5</v>
      </c>
      <c r="D9" s="7">
        <f>COUNTIF(Table6[Room ID],Table4[[#This Row],[Room ID]])</f>
        <v>3</v>
      </c>
      <c r="E9" s="7">
        <f>Table4[[#This Row],[Utilised slots/wk]]/Table4[[#This Row],[Available slots/wk]]*100</f>
        <v>60</v>
      </c>
      <c r="F9" s="7" t="str">
        <f>IF(Table4[[#This Row],[Utilisation %]]&lt;50,"Underutilised",IF(Table4[[#This Row],[Utilisation %]]&lt;=100,"Properly utilised","Overutilised"))</f>
        <v>Properly utilised</v>
      </c>
    </row>
    <row r="10" spans="1:9" x14ac:dyDescent="0.3">
      <c r="A10" s="7" t="s">
        <v>117</v>
      </c>
      <c r="B10" s="7" t="s">
        <v>514</v>
      </c>
      <c r="C10" s="7">
        <v>5</v>
      </c>
      <c r="D10" s="7">
        <f>COUNTIF(Table6[Room ID],Table4[[#This Row],[Room ID]])</f>
        <v>3</v>
      </c>
      <c r="E10" s="7">
        <f>Table4[[#This Row],[Utilised slots/wk]]/Table4[[#This Row],[Available slots/wk]]*100</f>
        <v>60</v>
      </c>
      <c r="F10" s="7" t="str">
        <f>IF(Table4[[#This Row],[Utilisation %]]&lt;50,"Underutilised",IF(Table4[[#This Row],[Utilisation %]]&lt;=100,"Properly utilised","Overutilised"))</f>
        <v>Properly utilised</v>
      </c>
    </row>
    <row r="11" spans="1:9" x14ac:dyDescent="0.3">
      <c r="A11" s="7" t="s">
        <v>155</v>
      </c>
      <c r="B11" s="7" t="s">
        <v>33</v>
      </c>
      <c r="C11" s="7">
        <v>5</v>
      </c>
      <c r="D11" s="7">
        <f>COUNTIF(Table6[Room ID],Table4[[#This Row],[Room ID]])</f>
        <v>4</v>
      </c>
      <c r="E11" s="7">
        <f>Table4[[#This Row],[Utilised slots/wk]]/Table4[[#This Row],[Available slots/wk]]*100</f>
        <v>80</v>
      </c>
      <c r="F11" s="7" t="str">
        <f>IF(Table4[[#This Row],[Utilisation %]]&lt;50,"Underutilised",IF(Table4[[#This Row],[Utilisation %]]&lt;=100,"Properly utilised","Overutilised"))</f>
        <v>Properly utilised</v>
      </c>
    </row>
    <row r="12" spans="1:9" x14ac:dyDescent="0.3">
      <c r="A12" s="7" t="s">
        <v>185</v>
      </c>
      <c r="B12" s="7" t="s">
        <v>514</v>
      </c>
      <c r="C12" s="7">
        <v>4</v>
      </c>
      <c r="D12" s="7">
        <f>COUNTIF(Table6[Room ID],Table4[[#This Row],[Room ID]])</f>
        <v>3</v>
      </c>
      <c r="E12" s="7">
        <f>Table4[[#This Row],[Utilised slots/wk]]/Table4[[#This Row],[Available slots/wk]]*100</f>
        <v>75</v>
      </c>
      <c r="F12" s="7" t="str">
        <f>IF(Table4[[#This Row],[Utilisation %]]&lt;50,"Underutilised",IF(Table4[[#This Row],[Utilisation %]]&lt;=100,"Properly utilised","Overutilised"))</f>
        <v>Properly utilised</v>
      </c>
    </row>
    <row r="13" spans="1:9" x14ac:dyDescent="0.3">
      <c r="A13" s="7" t="s">
        <v>167</v>
      </c>
      <c r="B13" s="7" t="s">
        <v>33</v>
      </c>
      <c r="C13" s="7">
        <v>4</v>
      </c>
      <c r="D13" s="7">
        <f>COUNTIF(Table6[Room ID],Table4[[#This Row],[Room ID]])</f>
        <v>2</v>
      </c>
      <c r="E13" s="7">
        <f>Table4[[#This Row],[Utilised slots/wk]]/Table4[[#This Row],[Available slots/wk]]*100</f>
        <v>50</v>
      </c>
      <c r="F13" s="7" t="str">
        <f>IF(Table4[[#This Row],[Utilisation %]]&lt;50,"Underutilised",IF(Table4[[#This Row],[Utilisation %]]&lt;=100,"Properly utilised","Overutilised"))</f>
        <v>Properly utilised</v>
      </c>
    </row>
    <row r="14" spans="1:9" x14ac:dyDescent="0.3">
      <c r="A14" s="7" t="s">
        <v>98</v>
      </c>
      <c r="B14" s="7" t="s">
        <v>514</v>
      </c>
      <c r="C14" s="7">
        <v>4</v>
      </c>
      <c r="D14" s="7">
        <f>COUNTIF(Table6[Room ID],Table4[[#This Row],[Room ID]])</f>
        <v>0</v>
      </c>
      <c r="E14" s="7">
        <f>Table4[[#This Row],[Utilised slots/wk]]/Table4[[#This Row],[Available slots/wk]]*100</f>
        <v>0</v>
      </c>
      <c r="F14" s="7" t="str">
        <f>IF(Table4[[#This Row],[Utilisation %]]&lt;50,"Underutilised",IF(Table4[[#This Row],[Utilisation %]]&lt;=100,"Properly utilised","Overutilised"))</f>
        <v>Underutilised</v>
      </c>
    </row>
    <row r="15" spans="1:9" x14ac:dyDescent="0.3">
      <c r="A15" s="7" t="s">
        <v>216</v>
      </c>
      <c r="B15" s="7" t="s">
        <v>33</v>
      </c>
      <c r="C15" s="7">
        <v>4</v>
      </c>
      <c r="D15" s="7">
        <f>COUNTIF(Table6[Room ID],Table4[[#This Row],[Room ID]])</f>
        <v>2</v>
      </c>
      <c r="E15" s="7">
        <f>Table4[[#This Row],[Utilised slots/wk]]/Table4[[#This Row],[Available slots/wk]]*100</f>
        <v>50</v>
      </c>
      <c r="F15" s="7" t="str">
        <f>IF(Table4[[#This Row],[Utilisation %]]&lt;50,"Underutilised",IF(Table4[[#This Row],[Utilisation %]]&lt;=100,"Properly utilised","Overutilised"))</f>
        <v>Properly utilised</v>
      </c>
    </row>
    <row r="16" spans="1:9" x14ac:dyDescent="0.3">
      <c r="A16" s="7" t="s">
        <v>104</v>
      </c>
      <c r="B16" s="7" t="s">
        <v>21</v>
      </c>
      <c r="C16" s="7">
        <v>4</v>
      </c>
      <c r="D16" s="7">
        <f>COUNTIF(Table6[Room ID],Table4[[#This Row],[Room ID]])</f>
        <v>2</v>
      </c>
      <c r="E16" s="7">
        <f>Table4[[#This Row],[Utilised slots/wk]]/Table4[[#This Row],[Available slots/wk]]*100</f>
        <v>50</v>
      </c>
      <c r="F16" s="7" t="str">
        <f>IF(Table4[[#This Row],[Utilisation %]]&lt;50,"Underutilised",IF(Table4[[#This Row],[Utilisation %]]&lt;=100,"Properly utilised","Overutilised"))</f>
        <v>Properly utilised</v>
      </c>
    </row>
    <row r="17" spans="1:6" x14ac:dyDescent="0.3">
      <c r="A17" s="7" t="s">
        <v>294</v>
      </c>
      <c r="B17" s="7" t="s">
        <v>514</v>
      </c>
      <c r="C17" s="7">
        <v>5</v>
      </c>
      <c r="D17" s="7">
        <f>COUNTIF(Table6[Room ID],Table4[[#This Row],[Room ID]])</f>
        <v>1</v>
      </c>
      <c r="E17" s="7">
        <f>Table4[[#This Row],[Utilised slots/wk]]/Table4[[#This Row],[Available slots/wk]]*100</f>
        <v>20</v>
      </c>
      <c r="F17" s="7" t="str">
        <f>IF(Table4[[#This Row],[Utilisation %]]&lt;50,"Underutilised",IF(Table4[[#This Row],[Utilisation %]]&lt;=100,"Properly utilised","Overutilised"))</f>
        <v>Underutilised</v>
      </c>
    </row>
    <row r="18" spans="1:6" x14ac:dyDescent="0.3">
      <c r="A18" s="7" t="s">
        <v>124</v>
      </c>
      <c r="B18" s="7" t="s">
        <v>513</v>
      </c>
      <c r="C18" s="7">
        <v>5</v>
      </c>
      <c r="D18" s="7">
        <f>COUNTIF(Table6[Room ID],Table4[[#This Row],[Room ID]])</f>
        <v>1</v>
      </c>
      <c r="E18" s="7">
        <f>Table4[[#This Row],[Utilised slots/wk]]/Table4[[#This Row],[Available slots/wk]]*100</f>
        <v>20</v>
      </c>
      <c r="F18" s="7" t="str">
        <f>IF(Table4[[#This Row],[Utilisation %]]&lt;50,"Underutilised",IF(Table4[[#This Row],[Utilisation %]]&lt;=100,"Properly utilised","Overutilised"))</f>
        <v>Underutilised</v>
      </c>
    </row>
    <row r="19" spans="1:6" x14ac:dyDescent="0.3">
      <c r="A19" s="7" t="s">
        <v>235</v>
      </c>
      <c r="B19" s="7" t="s">
        <v>513</v>
      </c>
      <c r="C19" s="7">
        <v>4</v>
      </c>
      <c r="D19" s="7">
        <f>COUNTIF(Table6[Room ID],Table4[[#This Row],[Room ID]])</f>
        <v>1</v>
      </c>
      <c r="E19" s="7">
        <f>Table4[[#This Row],[Utilised slots/wk]]/Table4[[#This Row],[Available slots/wk]]*100</f>
        <v>25</v>
      </c>
      <c r="F19" s="7" t="str">
        <f>IF(Table4[[#This Row],[Utilisation %]]&lt;50,"Underutilised",IF(Table4[[#This Row],[Utilisation %]]&lt;=100,"Properly utilised","Overutilised"))</f>
        <v>Underutilised</v>
      </c>
    </row>
    <row r="20" spans="1:6" x14ac:dyDescent="0.3">
      <c r="A20" s="7" t="s">
        <v>270</v>
      </c>
      <c r="B20" s="7" t="s">
        <v>514</v>
      </c>
      <c r="C20" s="7">
        <v>5</v>
      </c>
      <c r="D20" s="7">
        <f>COUNTIF(Table6[Room ID],Table4[[#This Row],[Room ID]])</f>
        <v>1</v>
      </c>
      <c r="E20" s="7">
        <f>Table4[[#This Row],[Utilised slots/wk]]/Table4[[#This Row],[Available slots/wk]]*100</f>
        <v>20</v>
      </c>
      <c r="F20" s="7" t="str">
        <f>IF(Table4[[#This Row],[Utilisation %]]&lt;50,"Underutilised",IF(Table4[[#This Row],[Utilisation %]]&lt;=100,"Properly utilised","Overutilised"))</f>
        <v>Underutilised</v>
      </c>
    </row>
    <row r="21" spans="1:6" x14ac:dyDescent="0.3">
      <c r="A21" s="7" t="s">
        <v>181</v>
      </c>
      <c r="B21" s="7" t="s">
        <v>21</v>
      </c>
      <c r="C21" s="7">
        <v>5</v>
      </c>
      <c r="D21" s="7">
        <f>COUNTIF(Table6[Room ID],Table4[[#This Row],[Room ID]])</f>
        <v>4</v>
      </c>
      <c r="E21" s="7">
        <f>Table4[[#This Row],[Utilised slots/wk]]/Table4[[#This Row],[Available slots/wk]]*100</f>
        <v>80</v>
      </c>
      <c r="F21" s="7" t="str">
        <f>IF(Table4[[#This Row],[Utilisation %]]&lt;50,"Underutilised",IF(Table4[[#This Row],[Utilisation %]]&lt;=100,"Properly utilised","Overutilised"))</f>
        <v>Properly utilised</v>
      </c>
    </row>
    <row r="22" spans="1:6" x14ac:dyDescent="0.3">
      <c r="A22" s="7" t="s">
        <v>70</v>
      </c>
      <c r="B22" s="7" t="s">
        <v>513</v>
      </c>
      <c r="C22" s="7">
        <v>4</v>
      </c>
      <c r="D22" s="7">
        <f>COUNTIF(Table6[Room ID],Table4[[#This Row],[Room ID]])</f>
        <v>3</v>
      </c>
      <c r="E22" s="7">
        <f>Table4[[#This Row],[Utilised slots/wk]]/Table4[[#This Row],[Available slots/wk]]*100</f>
        <v>75</v>
      </c>
      <c r="F22" s="7" t="str">
        <f>IF(Table4[[#This Row],[Utilisation %]]&lt;50,"Underutilised",IF(Table4[[#This Row],[Utilisation %]]&lt;=100,"Properly utilised","Overutilised"))</f>
        <v>Properly utilised</v>
      </c>
    </row>
    <row r="23" spans="1:6" x14ac:dyDescent="0.3">
      <c r="A23" s="7" t="s">
        <v>42</v>
      </c>
      <c r="B23" s="7" t="s">
        <v>514</v>
      </c>
      <c r="C23" s="7">
        <v>5</v>
      </c>
      <c r="D23" s="7">
        <f>COUNTIF(Table6[Room ID],Table4[[#This Row],[Room ID]])</f>
        <v>4</v>
      </c>
      <c r="E23" s="7">
        <f>Table4[[#This Row],[Utilised slots/wk]]/Table4[[#This Row],[Available slots/wk]]*100</f>
        <v>80</v>
      </c>
      <c r="F23" s="7" t="str">
        <f>IF(Table4[[#This Row],[Utilisation %]]&lt;50,"Underutilised",IF(Table4[[#This Row],[Utilisation %]]&lt;=100,"Properly utilised","Overutilised"))</f>
        <v>Properly utilised</v>
      </c>
    </row>
    <row r="24" spans="1:6" x14ac:dyDescent="0.3">
      <c r="A24" s="7" t="s">
        <v>323</v>
      </c>
      <c r="B24" s="7" t="s">
        <v>513</v>
      </c>
      <c r="C24" s="7">
        <v>4</v>
      </c>
      <c r="D24" s="7">
        <f>COUNTIF(Table6[Room ID],Table4[[#This Row],[Room ID]])</f>
        <v>1</v>
      </c>
      <c r="E24" s="7">
        <f>Table4[[#This Row],[Utilised slots/wk]]/Table4[[#This Row],[Available slots/wk]]*100</f>
        <v>25</v>
      </c>
      <c r="F24" s="7" t="str">
        <f>IF(Table4[[#This Row],[Utilisation %]]&lt;50,"Underutilised",IF(Table4[[#This Row],[Utilisation %]]&lt;=100,"Properly utilised","Overutilised"))</f>
        <v>Underutilised</v>
      </c>
    </row>
    <row r="25" spans="1:6" x14ac:dyDescent="0.3">
      <c r="A25" s="7" t="s">
        <v>58</v>
      </c>
      <c r="B25" s="7" t="s">
        <v>21</v>
      </c>
      <c r="C25" s="7">
        <v>5</v>
      </c>
      <c r="D25" s="7">
        <f>COUNTIF(Table6[Room ID],Table4[[#This Row],[Room ID]])</f>
        <v>4</v>
      </c>
      <c r="E25" s="7">
        <f>Table4[[#This Row],[Utilised slots/wk]]/Table4[[#This Row],[Available slots/wk]]*100</f>
        <v>80</v>
      </c>
      <c r="F25" s="7" t="str">
        <f>IF(Table4[[#This Row],[Utilisation %]]&lt;50,"Underutilised",IF(Table4[[#This Row],[Utilisation %]]&lt;=100,"Properly utilised","Overutilised"))</f>
        <v>Properly utilised</v>
      </c>
    </row>
    <row r="26" spans="1:6" x14ac:dyDescent="0.3">
      <c r="A26" s="7" t="s">
        <v>64</v>
      </c>
      <c r="B26" s="7" t="s">
        <v>21</v>
      </c>
      <c r="C26" s="7">
        <v>5</v>
      </c>
      <c r="D26" s="7">
        <f>COUNTIF(Table6[Room ID],Table4[[#This Row],[Room ID]])</f>
        <v>2</v>
      </c>
      <c r="E26" s="7">
        <f>Table4[[#This Row],[Utilised slots/wk]]/Table4[[#This Row],[Available slots/wk]]*100</f>
        <v>40</v>
      </c>
      <c r="F26" s="7" t="str">
        <f>IF(Table4[[#This Row],[Utilisation %]]&lt;50,"Underutilised",IF(Table4[[#This Row],[Utilisation %]]&lt;=100,"Properly utilised","Overutilised"))</f>
        <v>Underutilised</v>
      </c>
    </row>
    <row r="27" spans="1:6" x14ac:dyDescent="0.3">
      <c r="A27" s="7" t="s">
        <v>76</v>
      </c>
      <c r="B27" s="7" t="s">
        <v>513</v>
      </c>
      <c r="C27" s="7">
        <v>4</v>
      </c>
      <c r="D27" s="7">
        <f>COUNTIF(Table6[Room ID],Table4[[#This Row],[Room ID]])</f>
        <v>6</v>
      </c>
      <c r="E27" s="7">
        <f>Table4[[#This Row],[Utilised slots/wk]]/Table4[[#This Row],[Available slots/wk]]*100</f>
        <v>150</v>
      </c>
      <c r="F27" s="7" t="str">
        <f>IF(Table4[[#This Row],[Utilisation %]]&lt;50,"Underutilised",IF(Table4[[#This Row],[Utilisation %]]&lt;=100,"Properly utilised","Overutilised"))</f>
        <v>Overutilised</v>
      </c>
    </row>
    <row r="28" spans="1:6" x14ac:dyDescent="0.3">
      <c r="A28" s="7" t="s">
        <v>112</v>
      </c>
      <c r="B28" s="7" t="s">
        <v>33</v>
      </c>
      <c r="C28" s="7">
        <v>5</v>
      </c>
      <c r="D28" s="7">
        <f>COUNTIF(Table6[Room ID],Table4[[#This Row],[Room ID]])</f>
        <v>5</v>
      </c>
      <c r="E28" s="7">
        <f>Table4[[#This Row],[Utilised slots/wk]]/Table4[[#This Row],[Available slots/wk]]*100</f>
        <v>100</v>
      </c>
      <c r="F28" s="7" t="str">
        <f>IF(Table4[[#This Row],[Utilisation %]]&lt;50,"Underutilised",IF(Table4[[#This Row],[Utilisation %]]&lt;=100,"Properly utilised","Overutilised"))</f>
        <v>Properly utilised</v>
      </c>
    </row>
    <row r="29" spans="1:6" x14ac:dyDescent="0.3">
      <c r="A29" s="7" t="s">
        <v>172</v>
      </c>
      <c r="B29" s="7" t="s">
        <v>33</v>
      </c>
      <c r="C29" s="7">
        <v>4</v>
      </c>
      <c r="D29" s="7">
        <f>COUNTIF(Table6[Room ID],Table4[[#This Row],[Room ID]])</f>
        <v>3</v>
      </c>
      <c r="E29" s="7">
        <f>Table4[[#This Row],[Utilised slots/wk]]/Table4[[#This Row],[Available slots/wk]]*100</f>
        <v>75</v>
      </c>
      <c r="F29" s="7" t="str">
        <f>IF(Table4[[#This Row],[Utilisation %]]&lt;50,"Underutilised",IF(Table4[[#This Row],[Utilisation %]]&lt;=100,"Properly utilised","Overutilised"))</f>
        <v>Properly utilised</v>
      </c>
    </row>
    <row r="30" spans="1:6" x14ac:dyDescent="0.3">
      <c r="A30" s="7" t="s">
        <v>247</v>
      </c>
      <c r="B30" s="7" t="s">
        <v>514</v>
      </c>
      <c r="C30" s="7">
        <v>5</v>
      </c>
      <c r="D30" s="7">
        <f>COUNTIF(Table6[Room ID],Table4[[#This Row],[Room ID]])</f>
        <v>2</v>
      </c>
      <c r="E30" s="7">
        <f>Table4[[#This Row],[Utilised slots/wk]]/Table4[[#This Row],[Available slots/wk]]*100</f>
        <v>40</v>
      </c>
      <c r="F30" s="7" t="str">
        <f>IF(Table4[[#This Row],[Utilisation %]]&lt;50,"Underutilised",IF(Table4[[#This Row],[Utilisation %]]&lt;=100,"Properly utilised","Overutilised"))</f>
        <v>Underutilised</v>
      </c>
    </row>
    <row r="31" spans="1:6" x14ac:dyDescent="0.3">
      <c r="A31" s="7" t="s">
        <v>212</v>
      </c>
      <c r="B31" s="7" t="s">
        <v>21</v>
      </c>
      <c r="C31" s="7">
        <v>5</v>
      </c>
      <c r="D31" s="7">
        <f>COUNTIF(Table6[Room ID],Table4[[#This Row],[Room ID]])</f>
        <v>1</v>
      </c>
      <c r="E31" s="7">
        <f>Table4[[#This Row],[Utilised slots/wk]]/Table4[[#This Row],[Available slots/wk]]*100</f>
        <v>20</v>
      </c>
      <c r="F31" s="7" t="str">
        <f>IF(Table4[[#This Row],[Utilisation %]]&lt;50,"Underutilised",IF(Table4[[#This Row],[Utilisation %]]&lt;=100,"Properly utilised","Overutilised"))</f>
        <v>Underutilised</v>
      </c>
    </row>
    <row r="32" spans="1:6" x14ac:dyDescent="0.3">
      <c r="A32" s="7" t="s">
        <v>221</v>
      </c>
      <c r="B32" s="7" t="s">
        <v>21</v>
      </c>
      <c r="C32" s="7">
        <v>4</v>
      </c>
      <c r="D32" s="7">
        <f>COUNTIF(Table6[Room ID],Table4[[#This Row],[Room ID]])</f>
        <v>4</v>
      </c>
      <c r="E32" s="7">
        <f>Table4[[#This Row],[Utilised slots/wk]]/Table4[[#This Row],[Available slots/wk]]*100</f>
        <v>100</v>
      </c>
      <c r="F32" s="7" t="str">
        <f>IF(Table4[[#This Row],[Utilisation %]]&lt;50,"Underutilised",IF(Table4[[#This Row],[Utilisation %]]&lt;=100,"Properly utilised","Overutilised"))</f>
        <v>Properly utilised</v>
      </c>
    </row>
    <row r="33" spans="1:6" x14ac:dyDescent="0.3">
      <c r="A33" s="7" t="s">
        <v>94</v>
      </c>
      <c r="B33" s="7" t="s">
        <v>21</v>
      </c>
      <c r="C33" s="7">
        <v>4</v>
      </c>
      <c r="D33" s="7">
        <f>COUNTIF(Table6[Room ID],Table4[[#This Row],[Room ID]])</f>
        <v>3</v>
      </c>
      <c r="E33" s="7">
        <f>Table4[[#This Row],[Utilised slots/wk]]/Table4[[#This Row],[Available slots/wk]]*100</f>
        <v>75</v>
      </c>
      <c r="F33" s="7" t="str">
        <f>IF(Table4[[#This Row],[Utilisation %]]&lt;50,"Underutilised",IF(Table4[[#This Row],[Utilisation %]]&lt;=100,"Properly utilised","Overutilised"))</f>
        <v>Properly utilised</v>
      </c>
    </row>
    <row r="34" spans="1:6" x14ac:dyDescent="0.3">
      <c r="A34" s="7" t="s">
        <v>177</v>
      </c>
      <c r="B34" s="7" t="s">
        <v>21</v>
      </c>
      <c r="C34" s="7">
        <v>4</v>
      </c>
      <c r="D34" s="7">
        <f>COUNTIF(Table6[Room ID],Table4[[#This Row],[Room ID]])</f>
        <v>0</v>
      </c>
      <c r="E34" s="7">
        <f>Table4[[#This Row],[Utilised slots/wk]]/Table4[[#This Row],[Available slots/wk]]*100</f>
        <v>0</v>
      </c>
      <c r="F34" s="7" t="str">
        <f>IF(Table4[[#This Row],[Utilisation %]]&lt;50,"Underutilised",IF(Table4[[#This Row],[Utilisation %]]&lt;=100,"Properly utilised","Overutilised"))</f>
        <v>Underutilised</v>
      </c>
    </row>
    <row r="35" spans="1:6" x14ac:dyDescent="0.3">
      <c r="A35" s="7" t="s">
        <v>144</v>
      </c>
      <c r="B35" s="7" t="s">
        <v>513</v>
      </c>
      <c r="C35" s="7">
        <v>4</v>
      </c>
      <c r="D35" s="7">
        <f>COUNTIF(Table6[Room ID],Table4[[#This Row],[Room ID]])</f>
        <v>3</v>
      </c>
      <c r="E35" s="7">
        <f>Table4[[#This Row],[Utilised slots/wk]]/Table4[[#This Row],[Available slots/wk]]*100</f>
        <v>75</v>
      </c>
      <c r="F35" s="7" t="str">
        <f>IF(Table4[[#This Row],[Utilisation %]]&lt;50,"Underutilised",IF(Table4[[#This Row],[Utilisation %]]&lt;=100,"Properly utilised","Overutilised"))</f>
        <v>Properly utilised</v>
      </c>
    </row>
    <row r="36" spans="1:6" x14ac:dyDescent="0.3">
      <c r="A36" s="7" t="s">
        <v>32</v>
      </c>
      <c r="B36" s="7" t="s">
        <v>33</v>
      </c>
      <c r="C36" s="7">
        <v>5</v>
      </c>
      <c r="D36" s="7">
        <f>COUNTIF(Table6[Room ID],Table4[[#This Row],[Room ID]])</f>
        <v>2</v>
      </c>
      <c r="E36" s="7">
        <f>Table4[[#This Row],[Utilised slots/wk]]/Table4[[#This Row],[Available slots/wk]]*100</f>
        <v>40</v>
      </c>
      <c r="F36" s="7" t="str">
        <f>IF(Table4[[#This Row],[Utilisation %]]&lt;50,"Underutilised",IF(Table4[[#This Row],[Utilisation %]]&lt;=100,"Properly utilised","Overutilised"))</f>
        <v>Underutilised</v>
      </c>
    </row>
    <row r="37" spans="1:6" x14ac:dyDescent="0.3">
      <c r="A37" s="7" t="s">
        <v>196</v>
      </c>
      <c r="B37" s="7" t="s">
        <v>21</v>
      </c>
      <c r="C37" s="7">
        <v>4</v>
      </c>
      <c r="D37" s="7">
        <f>COUNTIF(Table6[Room ID],Table4[[#This Row],[Room ID]])</f>
        <v>1</v>
      </c>
      <c r="E37" s="7">
        <f>Table4[[#This Row],[Utilised slots/wk]]/Table4[[#This Row],[Available slots/wk]]*100</f>
        <v>25</v>
      </c>
      <c r="F37" s="7" t="str">
        <f>IF(Table4[[#This Row],[Utilisation %]]&lt;50,"Underutilised",IF(Table4[[#This Row],[Utilisation %]]&lt;=100,"Properly utilised","Overutilised"))</f>
        <v>Underutilised</v>
      </c>
    </row>
    <row r="38" spans="1:6" x14ac:dyDescent="0.3">
      <c r="A38" s="7" t="s">
        <v>339</v>
      </c>
      <c r="B38" s="7" t="s">
        <v>21</v>
      </c>
      <c r="C38" s="7">
        <v>4</v>
      </c>
      <c r="D38" s="7">
        <f>COUNTIF(Table6[Room ID],Table4[[#This Row],[Room ID]])</f>
        <v>1</v>
      </c>
      <c r="E38" s="7">
        <f>Table4[[#This Row],[Utilised slots/wk]]/Table4[[#This Row],[Available slots/wk]]*100</f>
        <v>25</v>
      </c>
      <c r="F38" s="7" t="str">
        <f>IF(Table4[[#This Row],[Utilisation %]]&lt;50,"Underutilised",IF(Table4[[#This Row],[Utilisation %]]&lt;=100,"Properly utilised","Overutilised"))</f>
        <v>Underutilised</v>
      </c>
    </row>
    <row r="39" spans="1:6" x14ac:dyDescent="0.3">
      <c r="A39" s="7" t="s">
        <v>278</v>
      </c>
      <c r="B39" s="7" t="s">
        <v>21</v>
      </c>
      <c r="C39" s="7">
        <v>5</v>
      </c>
      <c r="D39" s="7">
        <f>COUNTIF(Table6[Room ID],Table4[[#This Row],[Room ID]])</f>
        <v>1</v>
      </c>
      <c r="E39" s="7">
        <f>Table4[[#This Row],[Utilised slots/wk]]/Table4[[#This Row],[Available slots/wk]]*100</f>
        <v>20</v>
      </c>
      <c r="F39" s="7" t="str">
        <f>IF(Table4[[#This Row],[Utilisation %]]&lt;50,"Underutilised",IF(Table4[[#This Row],[Utilisation %]]&lt;=100,"Properly utilised","Overutilised"))</f>
        <v>Underutilised</v>
      </c>
    </row>
    <row r="40" spans="1:6" x14ac:dyDescent="0.3">
      <c r="A40" s="7" t="s">
        <v>90</v>
      </c>
      <c r="B40" s="7" t="s">
        <v>21</v>
      </c>
      <c r="C40" s="7">
        <v>5</v>
      </c>
      <c r="D40" s="7">
        <f>COUNTIF(Table6[Room ID],Table4[[#This Row],[Room ID]])</f>
        <v>0</v>
      </c>
      <c r="E40" s="7">
        <f>Table4[[#This Row],[Utilised slots/wk]]/Table4[[#This Row],[Available slots/wk]]*100</f>
        <v>0</v>
      </c>
      <c r="F40" s="7" t="str">
        <f>IF(Table4[[#This Row],[Utilisation %]]&lt;50,"Underutilised",IF(Table4[[#This Row],[Utilisation %]]&lt;=100,"Properly utilised","Overutilised"))</f>
        <v>Underutilised</v>
      </c>
    </row>
    <row r="41" spans="1:6" x14ac:dyDescent="0.3">
      <c r="A41" s="7" t="s">
        <v>515</v>
      </c>
      <c r="B41" s="7" t="s">
        <v>513</v>
      </c>
      <c r="C41" s="7">
        <v>4</v>
      </c>
      <c r="D41" s="9">
        <f>COUNTIF(Table6[Room ID],Table4[[#This Row],[Room ID]])</f>
        <v>1</v>
      </c>
      <c r="E41" s="9">
        <f>Table4[[#This Row],[Utilised slots/wk]]/Table4[[#This Row],[Available slots/wk]]*100</f>
        <v>25</v>
      </c>
      <c r="F41" s="9" t="str">
        <f>IF(Table4[[#This Row],[Utilisation %]]&lt;50,"Underutilised",IF(Table4[[#This Row],[Utilisation %]]&lt;=100,"Properly utilised","Overutilised"))</f>
        <v>Underutilised</v>
      </c>
    </row>
  </sheetData>
  <mergeCells count="1">
    <mergeCell ref="H7:I8"/>
  </mergeCells>
  <conditionalFormatting sqref="F1:F1048576">
    <cfRule type="cellIs" dxfId="7" priority="1" operator="equal">
      <formula>"Properly Utilised"</formula>
    </cfRule>
    <cfRule type="cellIs" dxfId="6" priority="2" operator="equal">
      <formula>"Overutilised"</formula>
    </cfRule>
  </conditionalFormatting>
  <hyperlinks>
    <hyperlink ref="H7" location="Index!A1" display="Index!A1" xr:uid="{BBBC5796-9399-4125-9044-D5F81B0F23EF}"/>
  </hyperlink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7141D-A580-42A0-881C-2BFF30A7BA04}">
  <sheetPr codeName="Sheet10"/>
  <dimension ref="A1:N51"/>
  <sheetViews>
    <sheetView workbookViewId="0">
      <selection activeCell="M9" sqref="M9:N10"/>
    </sheetView>
  </sheetViews>
  <sheetFormatPr defaultRowHeight="14.4" x14ac:dyDescent="0.3"/>
  <cols>
    <col min="1" max="1" width="21.77734375" bestFit="1" customWidth="1"/>
    <col min="2" max="2" width="6.88671875" bestFit="1" customWidth="1"/>
    <col min="5" max="5" width="17.77734375" bestFit="1" customWidth="1"/>
    <col min="6" max="6" width="23.77734375" bestFit="1" customWidth="1"/>
    <col min="9" max="9" width="12.44140625" bestFit="1" customWidth="1"/>
    <col min="10" max="10" width="17.6640625" bestFit="1" customWidth="1"/>
    <col min="13" max="13" width="14.44140625" bestFit="1" customWidth="1"/>
  </cols>
  <sheetData>
    <row r="1" spans="1:14" x14ac:dyDescent="0.3">
      <c r="A1" s="78" t="s">
        <v>581</v>
      </c>
      <c r="B1" s="78"/>
      <c r="E1" s="78" t="s">
        <v>582</v>
      </c>
      <c r="F1" s="78"/>
      <c r="I1" s="78" t="s">
        <v>637</v>
      </c>
      <c r="J1" s="78"/>
      <c r="M1" s="78" t="s">
        <v>640</v>
      </c>
      <c r="N1" s="78"/>
    </row>
    <row r="2" spans="1:14" x14ac:dyDescent="0.3">
      <c r="A2" s="78"/>
      <c r="B2" s="78"/>
      <c r="E2" s="78"/>
      <c r="F2" s="78"/>
      <c r="I2" s="78"/>
      <c r="J2" s="78"/>
      <c r="M2" s="78"/>
      <c r="N2" s="78"/>
    </row>
    <row r="3" spans="1:14" x14ac:dyDescent="0.3">
      <c r="A3" s="19" t="s">
        <v>573</v>
      </c>
      <c r="B3" t="s">
        <v>572</v>
      </c>
      <c r="E3" s="19" t="s">
        <v>563</v>
      </c>
      <c r="F3" t="s">
        <v>593</v>
      </c>
      <c r="I3" s="19" t="s">
        <v>563</v>
      </c>
      <c r="J3" t="s">
        <v>638</v>
      </c>
      <c r="M3" s="53" t="s">
        <v>578</v>
      </c>
      <c r="N3" s="47">
        <f>COUNTIF(Table4[Utilisation Status],"Properly Utilised")/COUNTA(Table4[Utilisation Status])*100</f>
        <v>50</v>
      </c>
    </row>
    <row r="4" spans="1:14" x14ac:dyDescent="0.3">
      <c r="A4" s="20" t="s">
        <v>110</v>
      </c>
      <c r="B4">
        <v>2</v>
      </c>
      <c r="E4" s="20" t="s">
        <v>387</v>
      </c>
      <c r="F4">
        <v>8</v>
      </c>
      <c r="I4" s="20" t="s">
        <v>84</v>
      </c>
      <c r="J4">
        <v>75</v>
      </c>
      <c r="M4" s="53" t="s">
        <v>579</v>
      </c>
      <c r="N4" s="47">
        <f>COUNTIF(Table4[Utilisation Status],"Underutilised")/COUNTA(Table4[Utilisation Status])*100</f>
        <v>45</v>
      </c>
    </row>
    <row r="5" spans="1:14" x14ac:dyDescent="0.3">
      <c r="A5" s="20" t="s">
        <v>18</v>
      </c>
      <c r="B5">
        <v>3</v>
      </c>
      <c r="E5" s="20" t="s">
        <v>397</v>
      </c>
      <c r="F5">
        <v>6</v>
      </c>
      <c r="I5" s="20" t="s">
        <v>224</v>
      </c>
      <c r="J5">
        <v>25</v>
      </c>
      <c r="M5" s="53" t="s">
        <v>580</v>
      </c>
      <c r="N5" s="47">
        <f>COUNTIF(Table4[Utilisation Status],"Overutilised")/COUNTA(Table4[Utilisation Status])*100</f>
        <v>5</v>
      </c>
    </row>
    <row r="6" spans="1:14" x14ac:dyDescent="0.3">
      <c r="A6" s="20" t="s">
        <v>233</v>
      </c>
      <c r="B6">
        <v>1</v>
      </c>
      <c r="E6" s="20" t="s">
        <v>417</v>
      </c>
      <c r="F6">
        <v>9</v>
      </c>
      <c r="I6" s="20" t="s">
        <v>227</v>
      </c>
      <c r="J6">
        <v>40</v>
      </c>
    </row>
    <row r="7" spans="1:14" x14ac:dyDescent="0.3">
      <c r="A7" s="20" t="s">
        <v>166</v>
      </c>
      <c r="B7">
        <v>1</v>
      </c>
      <c r="E7" s="20" t="s">
        <v>377</v>
      </c>
      <c r="F7">
        <v>0</v>
      </c>
      <c r="I7" s="20" t="s">
        <v>205</v>
      </c>
      <c r="J7">
        <v>60</v>
      </c>
    </row>
    <row r="8" spans="1:14" x14ac:dyDescent="0.3">
      <c r="A8" s="20" t="s">
        <v>40</v>
      </c>
      <c r="B8">
        <v>3</v>
      </c>
      <c r="E8" s="20" t="s">
        <v>408</v>
      </c>
      <c r="F8">
        <v>0</v>
      </c>
      <c r="I8" s="20" t="s">
        <v>189</v>
      </c>
      <c r="J8">
        <v>50</v>
      </c>
    </row>
    <row r="9" spans="1:14" x14ac:dyDescent="0.3">
      <c r="A9" s="20" t="s">
        <v>161</v>
      </c>
      <c r="B9">
        <v>3</v>
      </c>
      <c r="E9" s="20" t="s">
        <v>415</v>
      </c>
      <c r="F9">
        <v>4</v>
      </c>
      <c r="I9" s="20" t="s">
        <v>50</v>
      </c>
      <c r="J9">
        <v>50</v>
      </c>
      <c r="M9" s="66" t="s">
        <v>594</v>
      </c>
      <c r="N9" s="67"/>
    </row>
    <row r="10" spans="1:14" x14ac:dyDescent="0.3">
      <c r="A10" s="20" t="s">
        <v>79</v>
      </c>
      <c r="B10">
        <v>5</v>
      </c>
      <c r="E10" s="20" t="s">
        <v>401</v>
      </c>
      <c r="F10">
        <v>2</v>
      </c>
      <c r="I10" s="20" t="s">
        <v>20</v>
      </c>
      <c r="J10">
        <v>120</v>
      </c>
      <c r="M10" s="68"/>
      <c r="N10" s="69"/>
    </row>
    <row r="11" spans="1:14" x14ac:dyDescent="0.3">
      <c r="A11" s="20" t="s">
        <v>88</v>
      </c>
      <c r="B11">
        <v>1</v>
      </c>
      <c r="E11" s="20" t="s">
        <v>399</v>
      </c>
      <c r="F11">
        <v>5</v>
      </c>
      <c r="I11" s="20" t="s">
        <v>274</v>
      </c>
      <c r="J11">
        <v>60</v>
      </c>
    </row>
    <row r="12" spans="1:14" x14ac:dyDescent="0.3">
      <c r="A12" s="20" t="s">
        <v>230</v>
      </c>
      <c r="B12">
        <v>1</v>
      </c>
      <c r="E12" s="20" t="s">
        <v>425</v>
      </c>
      <c r="F12">
        <v>5</v>
      </c>
      <c r="I12" s="20" t="s">
        <v>117</v>
      </c>
      <c r="J12">
        <v>60</v>
      </c>
    </row>
    <row r="13" spans="1:14" x14ac:dyDescent="0.3">
      <c r="A13" s="20" t="s">
        <v>250</v>
      </c>
      <c r="B13">
        <v>2</v>
      </c>
      <c r="E13" s="20" t="s">
        <v>394</v>
      </c>
      <c r="F13">
        <v>0</v>
      </c>
      <c r="I13" s="20" t="s">
        <v>155</v>
      </c>
      <c r="J13">
        <v>80</v>
      </c>
    </row>
    <row r="14" spans="1:14" x14ac:dyDescent="0.3">
      <c r="A14" s="20" t="s">
        <v>262</v>
      </c>
      <c r="B14">
        <v>2</v>
      </c>
      <c r="E14" s="20" t="s">
        <v>403</v>
      </c>
      <c r="F14">
        <v>8</v>
      </c>
      <c r="I14" s="20" t="s">
        <v>185</v>
      </c>
      <c r="J14">
        <v>75</v>
      </c>
    </row>
    <row r="15" spans="1:14" x14ac:dyDescent="0.3">
      <c r="A15" s="20" t="s">
        <v>138</v>
      </c>
      <c r="B15">
        <v>6</v>
      </c>
      <c r="E15" s="20" t="s">
        <v>411</v>
      </c>
      <c r="F15">
        <v>12</v>
      </c>
      <c r="I15" s="20" t="s">
        <v>167</v>
      </c>
      <c r="J15">
        <v>50</v>
      </c>
    </row>
    <row r="16" spans="1:14" x14ac:dyDescent="0.3">
      <c r="A16" s="20" t="s">
        <v>120</v>
      </c>
      <c r="B16">
        <v>3</v>
      </c>
      <c r="E16" s="20" t="s">
        <v>391</v>
      </c>
      <c r="F16">
        <v>9</v>
      </c>
      <c r="I16" s="20" t="s">
        <v>98</v>
      </c>
      <c r="J16">
        <v>0</v>
      </c>
    </row>
    <row r="17" spans="1:10" x14ac:dyDescent="0.3">
      <c r="A17" s="20" t="s">
        <v>48</v>
      </c>
      <c r="B17">
        <v>3</v>
      </c>
      <c r="E17" s="20" t="s">
        <v>395</v>
      </c>
      <c r="F17">
        <v>2</v>
      </c>
      <c r="I17" s="20" t="s">
        <v>216</v>
      </c>
      <c r="J17">
        <v>50</v>
      </c>
    </row>
    <row r="18" spans="1:10" x14ac:dyDescent="0.3">
      <c r="A18" s="20" t="s">
        <v>143</v>
      </c>
      <c r="B18">
        <v>2</v>
      </c>
      <c r="E18" s="20" t="s">
        <v>405</v>
      </c>
      <c r="F18">
        <v>16</v>
      </c>
      <c r="I18" s="20" t="s">
        <v>104</v>
      </c>
      <c r="J18">
        <v>50</v>
      </c>
    </row>
    <row r="19" spans="1:10" x14ac:dyDescent="0.3">
      <c r="A19" s="20" t="s">
        <v>63</v>
      </c>
      <c r="B19">
        <v>6</v>
      </c>
      <c r="E19" s="20" t="s">
        <v>372</v>
      </c>
      <c r="F19">
        <v>5</v>
      </c>
      <c r="I19" s="20" t="s">
        <v>294</v>
      </c>
      <c r="J19">
        <v>20</v>
      </c>
    </row>
    <row r="20" spans="1:10" x14ac:dyDescent="0.3">
      <c r="A20" s="20" t="s">
        <v>30</v>
      </c>
      <c r="B20">
        <v>2</v>
      </c>
      <c r="E20" s="20" t="s">
        <v>388</v>
      </c>
      <c r="F20">
        <v>13</v>
      </c>
      <c r="I20" s="20" t="s">
        <v>124</v>
      </c>
      <c r="J20">
        <v>20</v>
      </c>
    </row>
    <row r="21" spans="1:10" x14ac:dyDescent="0.3">
      <c r="A21" s="20" t="s">
        <v>102</v>
      </c>
      <c r="B21">
        <v>1</v>
      </c>
      <c r="E21" s="20" t="s">
        <v>402</v>
      </c>
      <c r="F21">
        <v>5</v>
      </c>
      <c r="I21" s="20" t="s">
        <v>235</v>
      </c>
      <c r="J21">
        <v>25</v>
      </c>
    </row>
    <row r="22" spans="1:10" x14ac:dyDescent="0.3">
      <c r="A22" s="20" t="s">
        <v>83</v>
      </c>
      <c r="B22">
        <v>3</v>
      </c>
      <c r="E22" s="20" t="s">
        <v>374</v>
      </c>
      <c r="F22">
        <v>1</v>
      </c>
      <c r="I22" s="20" t="s">
        <v>270</v>
      </c>
      <c r="J22">
        <v>20</v>
      </c>
    </row>
    <row r="23" spans="1:10" x14ac:dyDescent="0.3">
      <c r="A23" s="20" t="s">
        <v>135</v>
      </c>
      <c r="B23">
        <v>7</v>
      </c>
      <c r="E23" s="20" t="s">
        <v>389</v>
      </c>
      <c r="F23">
        <v>8</v>
      </c>
      <c r="I23" s="20" t="s">
        <v>181</v>
      </c>
      <c r="J23">
        <v>80</v>
      </c>
    </row>
    <row r="24" spans="1:10" x14ac:dyDescent="0.3">
      <c r="A24" s="20" t="s">
        <v>180</v>
      </c>
      <c r="B24">
        <v>5</v>
      </c>
      <c r="E24" s="20" t="s">
        <v>361</v>
      </c>
      <c r="F24">
        <v>0</v>
      </c>
      <c r="I24" s="20" t="s">
        <v>70</v>
      </c>
      <c r="J24">
        <v>75</v>
      </c>
    </row>
    <row r="25" spans="1:10" x14ac:dyDescent="0.3">
      <c r="A25" s="20" t="s">
        <v>68</v>
      </c>
      <c r="B25">
        <v>2</v>
      </c>
      <c r="E25" s="20" t="s">
        <v>421</v>
      </c>
      <c r="F25">
        <v>0</v>
      </c>
      <c r="I25" s="20" t="s">
        <v>42</v>
      </c>
      <c r="J25">
        <v>80</v>
      </c>
    </row>
    <row r="26" spans="1:10" x14ac:dyDescent="0.3">
      <c r="A26" s="20" t="s">
        <v>300</v>
      </c>
      <c r="B26">
        <v>1</v>
      </c>
      <c r="E26" s="20" t="s">
        <v>398</v>
      </c>
      <c r="F26">
        <v>5</v>
      </c>
      <c r="I26" s="20" t="s">
        <v>323</v>
      </c>
      <c r="J26">
        <v>25</v>
      </c>
    </row>
    <row r="27" spans="1:10" x14ac:dyDescent="0.3">
      <c r="A27" s="20" t="s">
        <v>56</v>
      </c>
      <c r="B27">
        <v>4</v>
      </c>
      <c r="E27" s="20" t="s">
        <v>413</v>
      </c>
      <c r="F27">
        <v>2</v>
      </c>
      <c r="I27" s="20" t="s">
        <v>58</v>
      </c>
      <c r="J27">
        <v>80</v>
      </c>
    </row>
    <row r="28" spans="1:10" x14ac:dyDescent="0.3">
      <c r="A28" s="20" t="s">
        <v>127</v>
      </c>
      <c r="B28">
        <v>1</v>
      </c>
      <c r="E28" s="20" t="s">
        <v>414</v>
      </c>
      <c r="F28">
        <v>5</v>
      </c>
      <c r="I28" s="20" t="s">
        <v>64</v>
      </c>
      <c r="J28">
        <v>40</v>
      </c>
    </row>
    <row r="29" spans="1:10" x14ac:dyDescent="0.3">
      <c r="A29" s="20" t="s">
        <v>316</v>
      </c>
      <c r="B29">
        <v>1</v>
      </c>
      <c r="E29" s="20" t="s">
        <v>406</v>
      </c>
      <c r="F29">
        <v>7</v>
      </c>
      <c r="I29" s="20" t="s">
        <v>76</v>
      </c>
      <c r="J29">
        <v>150</v>
      </c>
    </row>
    <row r="30" spans="1:10" x14ac:dyDescent="0.3">
      <c r="A30" s="20" t="s">
        <v>146</v>
      </c>
      <c r="B30">
        <v>2</v>
      </c>
      <c r="E30" s="20" t="s">
        <v>409</v>
      </c>
      <c r="F30">
        <v>4</v>
      </c>
      <c r="I30" s="20" t="s">
        <v>112</v>
      </c>
      <c r="J30">
        <v>100</v>
      </c>
    </row>
    <row r="31" spans="1:10" x14ac:dyDescent="0.3">
      <c r="A31" s="20" t="s">
        <v>130</v>
      </c>
      <c r="B31">
        <v>4</v>
      </c>
      <c r="E31" s="20" t="s">
        <v>423</v>
      </c>
      <c r="F31">
        <v>0</v>
      </c>
      <c r="I31" s="20" t="s">
        <v>172</v>
      </c>
      <c r="J31">
        <v>75</v>
      </c>
    </row>
    <row r="32" spans="1:10" x14ac:dyDescent="0.3">
      <c r="A32" s="20" t="s">
        <v>194</v>
      </c>
      <c r="B32">
        <v>3</v>
      </c>
      <c r="E32" s="20" t="s">
        <v>404</v>
      </c>
      <c r="F32">
        <v>12</v>
      </c>
      <c r="I32" s="20" t="s">
        <v>247</v>
      </c>
      <c r="J32">
        <v>40</v>
      </c>
    </row>
    <row r="33" spans="1:10" x14ac:dyDescent="0.3">
      <c r="A33" s="20" t="s">
        <v>208</v>
      </c>
      <c r="B33">
        <v>3</v>
      </c>
      <c r="E33" s="20" t="s">
        <v>424</v>
      </c>
      <c r="F33">
        <v>6</v>
      </c>
      <c r="I33" s="20" t="s">
        <v>212</v>
      </c>
      <c r="J33">
        <v>20</v>
      </c>
    </row>
    <row r="34" spans="1:10" x14ac:dyDescent="0.3">
      <c r="A34" s="20" t="s">
        <v>211</v>
      </c>
      <c r="B34">
        <v>2</v>
      </c>
      <c r="E34" s="20" t="s">
        <v>379</v>
      </c>
      <c r="F34">
        <v>13</v>
      </c>
      <c r="I34" s="20" t="s">
        <v>221</v>
      </c>
      <c r="J34">
        <v>100</v>
      </c>
    </row>
    <row r="35" spans="1:10" x14ac:dyDescent="0.3">
      <c r="A35" s="20" t="s">
        <v>74</v>
      </c>
      <c r="B35">
        <v>2</v>
      </c>
      <c r="E35" s="20" t="s">
        <v>364</v>
      </c>
      <c r="F35">
        <v>5</v>
      </c>
      <c r="I35" s="20" t="s">
        <v>94</v>
      </c>
      <c r="J35">
        <v>75</v>
      </c>
    </row>
    <row r="36" spans="1:10" x14ac:dyDescent="0.3">
      <c r="A36" s="20" t="s">
        <v>188</v>
      </c>
      <c r="B36">
        <v>3</v>
      </c>
      <c r="E36" s="20" t="s">
        <v>383</v>
      </c>
      <c r="F36">
        <v>3</v>
      </c>
      <c r="I36" s="20" t="s">
        <v>177</v>
      </c>
      <c r="J36">
        <v>0</v>
      </c>
    </row>
    <row r="37" spans="1:10" x14ac:dyDescent="0.3">
      <c r="A37" s="20" t="s">
        <v>303</v>
      </c>
      <c r="B37">
        <v>3</v>
      </c>
      <c r="E37" s="20" t="s">
        <v>373</v>
      </c>
      <c r="F37">
        <v>1</v>
      </c>
      <c r="I37" s="20" t="s">
        <v>144</v>
      </c>
      <c r="J37">
        <v>75</v>
      </c>
    </row>
    <row r="38" spans="1:10" x14ac:dyDescent="0.3">
      <c r="A38" s="20" t="s">
        <v>564</v>
      </c>
      <c r="B38">
        <v>93</v>
      </c>
      <c r="E38" s="20" t="s">
        <v>382</v>
      </c>
      <c r="F38">
        <v>6</v>
      </c>
      <c r="I38" s="20" t="s">
        <v>32</v>
      </c>
      <c r="J38">
        <v>40</v>
      </c>
    </row>
    <row r="39" spans="1:10" x14ac:dyDescent="0.3">
      <c r="E39" s="20" t="s">
        <v>392</v>
      </c>
      <c r="F39">
        <v>2</v>
      </c>
      <c r="I39" s="20" t="s">
        <v>196</v>
      </c>
      <c r="J39">
        <v>25</v>
      </c>
    </row>
    <row r="40" spans="1:10" x14ac:dyDescent="0.3">
      <c r="E40" s="20" t="s">
        <v>355</v>
      </c>
      <c r="F40">
        <v>8</v>
      </c>
      <c r="I40" s="20" t="s">
        <v>339</v>
      </c>
      <c r="J40">
        <v>25</v>
      </c>
    </row>
    <row r="41" spans="1:10" x14ac:dyDescent="0.3">
      <c r="E41" s="20" t="s">
        <v>400</v>
      </c>
      <c r="F41">
        <v>4</v>
      </c>
      <c r="I41" s="20" t="s">
        <v>278</v>
      </c>
      <c r="J41">
        <v>20</v>
      </c>
    </row>
    <row r="42" spans="1:10" x14ac:dyDescent="0.3">
      <c r="E42" s="20" t="s">
        <v>410</v>
      </c>
      <c r="F42">
        <v>0</v>
      </c>
      <c r="I42" s="20" t="s">
        <v>90</v>
      </c>
      <c r="J42">
        <v>0</v>
      </c>
    </row>
    <row r="43" spans="1:10" x14ac:dyDescent="0.3">
      <c r="E43" s="20" t="s">
        <v>419</v>
      </c>
      <c r="F43">
        <v>4</v>
      </c>
      <c r="I43" s="20" t="s">
        <v>515</v>
      </c>
      <c r="J43">
        <v>25</v>
      </c>
    </row>
    <row r="44" spans="1:10" x14ac:dyDescent="0.3">
      <c r="E44" s="20" t="s">
        <v>396</v>
      </c>
      <c r="F44">
        <v>6</v>
      </c>
      <c r="I44" s="20" t="s">
        <v>639</v>
      </c>
      <c r="J44">
        <v>150</v>
      </c>
    </row>
    <row r="45" spans="1:10" x14ac:dyDescent="0.3">
      <c r="E45" s="20" t="s">
        <v>370</v>
      </c>
      <c r="F45">
        <v>1</v>
      </c>
    </row>
    <row r="46" spans="1:10" x14ac:dyDescent="0.3">
      <c r="E46" s="20" t="s">
        <v>426</v>
      </c>
      <c r="F46">
        <v>6</v>
      </c>
    </row>
    <row r="47" spans="1:10" x14ac:dyDescent="0.3">
      <c r="E47" s="20" t="s">
        <v>416</v>
      </c>
      <c r="F47">
        <v>2</v>
      </c>
    </row>
    <row r="48" spans="1:10" x14ac:dyDescent="0.3">
      <c r="E48" s="20" t="s">
        <v>412</v>
      </c>
      <c r="F48">
        <v>10</v>
      </c>
    </row>
    <row r="49" spans="5:6" x14ac:dyDescent="0.3">
      <c r="E49" s="20" t="s">
        <v>386</v>
      </c>
      <c r="F49">
        <v>4</v>
      </c>
    </row>
    <row r="50" spans="5:6" x14ac:dyDescent="0.3">
      <c r="E50" s="20" t="s">
        <v>385</v>
      </c>
      <c r="F50">
        <v>2</v>
      </c>
    </row>
    <row r="51" spans="5:6" x14ac:dyDescent="0.3">
      <c r="E51" s="20" t="s">
        <v>351</v>
      </c>
      <c r="F51">
        <v>236</v>
      </c>
    </row>
  </sheetData>
  <mergeCells count="5">
    <mergeCell ref="A1:B2"/>
    <mergeCell ref="E1:F2"/>
    <mergeCell ref="M9:N10"/>
    <mergeCell ref="I1:J2"/>
    <mergeCell ref="M1:N2"/>
  </mergeCells>
  <hyperlinks>
    <hyperlink ref="M9" location="Index!A1" display="Index!A1" xr:uid="{21EDC35A-BA29-4FDD-B39A-3676331AE94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4EF6C-6E9D-41DE-A8DA-D71E82CA2D15}">
  <dimension ref="A1:AG50"/>
  <sheetViews>
    <sheetView zoomScale="89" workbookViewId="0">
      <selection activeCell="W8" sqref="W8:X9"/>
    </sheetView>
  </sheetViews>
  <sheetFormatPr defaultRowHeight="14.4" x14ac:dyDescent="0.3"/>
  <cols>
    <col min="1" max="1" width="12.77734375" bestFit="1" customWidth="1"/>
    <col min="2" max="2" width="16.88671875" bestFit="1" customWidth="1"/>
    <col min="3" max="3" width="13.5546875" bestFit="1" customWidth="1"/>
    <col min="4" max="4" width="13.5546875" customWidth="1"/>
  </cols>
  <sheetData>
    <row r="1" spans="1:33" x14ac:dyDescent="0.3">
      <c r="A1" s="64" t="s">
        <v>571</v>
      </c>
      <c r="B1" s="65"/>
      <c r="C1" s="65"/>
      <c r="D1" s="65"/>
      <c r="E1" s="65"/>
      <c r="F1" s="65"/>
      <c r="G1" s="65"/>
      <c r="H1" s="65"/>
      <c r="I1" s="65"/>
      <c r="J1" s="65"/>
      <c r="K1" s="65"/>
      <c r="L1" s="65"/>
      <c r="M1" s="65"/>
      <c r="N1" s="65"/>
      <c r="O1" s="65"/>
      <c r="P1" s="65"/>
      <c r="Q1" s="65"/>
      <c r="R1" s="65"/>
      <c r="S1" s="65"/>
      <c r="T1" s="65"/>
      <c r="U1" s="65"/>
      <c r="V1" s="65"/>
      <c r="W1" s="65"/>
      <c r="X1" s="65"/>
      <c r="Y1" s="48"/>
      <c r="Z1" s="48"/>
      <c r="AA1" s="48"/>
      <c r="AB1" s="48"/>
      <c r="AC1" s="48"/>
      <c r="AD1" s="48"/>
      <c r="AE1" s="48"/>
      <c r="AF1" s="48"/>
      <c r="AG1" s="48"/>
    </row>
    <row r="2" spans="1:33" x14ac:dyDescent="0.3">
      <c r="A2" s="65"/>
      <c r="B2" s="65"/>
      <c r="C2" s="65"/>
      <c r="D2" s="65"/>
      <c r="E2" s="65"/>
      <c r="F2" s="65"/>
      <c r="G2" s="65"/>
      <c r="H2" s="65"/>
      <c r="I2" s="65"/>
      <c r="J2" s="65"/>
      <c r="K2" s="65"/>
      <c r="L2" s="65"/>
      <c r="M2" s="65"/>
      <c r="N2" s="65"/>
      <c r="O2" s="65"/>
      <c r="P2" s="65"/>
      <c r="Q2" s="65"/>
      <c r="R2" s="65"/>
      <c r="S2" s="65"/>
      <c r="T2" s="65"/>
      <c r="U2" s="65"/>
      <c r="V2" s="65"/>
      <c r="W2" s="65"/>
      <c r="X2" s="65"/>
      <c r="Y2" s="48"/>
      <c r="Z2" s="48"/>
      <c r="AA2" s="48"/>
      <c r="AB2" s="48"/>
      <c r="AC2" s="48"/>
      <c r="AD2" s="48"/>
      <c r="AE2" s="48"/>
      <c r="AF2" s="48"/>
      <c r="AG2" s="48"/>
    </row>
    <row r="3" spans="1:33" x14ac:dyDescent="0.3">
      <c r="A3" s="65"/>
      <c r="B3" s="65"/>
      <c r="C3" s="65"/>
      <c r="D3" s="65"/>
      <c r="E3" s="65"/>
      <c r="F3" s="65"/>
      <c r="G3" s="65"/>
      <c r="H3" s="65"/>
      <c r="I3" s="65"/>
      <c r="J3" s="65"/>
      <c r="K3" s="65"/>
      <c r="L3" s="65"/>
      <c r="M3" s="65"/>
      <c r="N3" s="65"/>
      <c r="O3" s="65"/>
      <c r="P3" s="65"/>
      <c r="Q3" s="65"/>
      <c r="R3" s="65"/>
      <c r="S3" s="65"/>
      <c r="T3" s="65"/>
      <c r="U3" s="65"/>
      <c r="V3" s="65"/>
      <c r="W3" s="65"/>
      <c r="X3" s="65"/>
      <c r="Y3" s="48"/>
      <c r="Z3" s="48"/>
      <c r="AA3" s="48"/>
      <c r="AB3" s="48"/>
      <c r="AC3" s="48"/>
      <c r="AD3" s="48"/>
      <c r="AE3" s="48"/>
      <c r="AF3" s="48"/>
      <c r="AG3" s="48"/>
    </row>
    <row r="4" spans="1:33" x14ac:dyDescent="0.3">
      <c r="A4" s="48"/>
      <c r="B4" s="48"/>
      <c r="C4" s="48"/>
      <c r="D4" s="48"/>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row>
    <row r="5" spans="1:33" x14ac:dyDescent="0.3">
      <c r="A5" s="48"/>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row>
    <row r="6" spans="1:33" x14ac:dyDescent="0.3">
      <c r="A6" s="52" t="s">
        <v>574</v>
      </c>
      <c r="B6" s="52" t="s">
        <v>575</v>
      </c>
      <c r="C6" s="52" t="s">
        <v>576</v>
      </c>
      <c r="D6" s="48"/>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row>
    <row r="7" spans="1:33" x14ac:dyDescent="0.3">
      <c r="A7" s="60">
        <f>COUNTA('Pivot Tables'!A4:A38)-1</f>
        <v>34</v>
      </c>
      <c r="B7" s="60">
        <f>GETPIVOTDATA("Subject Name",'Pivot Tables'!$A$3)</f>
        <v>93</v>
      </c>
      <c r="C7" s="61">
        <f>COUNTIF(Table6[Conflict Flag],"Conflict")/COUNTA(Table6[Conflict Flag])*100</f>
        <v>2.1505376344086025</v>
      </c>
      <c r="D7" s="48"/>
      <c r="E7" s="48"/>
      <c r="F7" s="48"/>
      <c r="G7" s="48"/>
      <c r="H7" s="48"/>
      <c r="I7" s="48"/>
      <c r="J7" s="48"/>
      <c r="K7" s="48"/>
      <c r="L7" s="48"/>
      <c r="M7" s="48"/>
      <c r="N7" s="48"/>
      <c r="O7" s="48"/>
      <c r="P7" s="48"/>
      <c r="Q7" s="48"/>
      <c r="R7" s="48"/>
      <c r="S7" s="48"/>
      <c r="T7" s="48"/>
      <c r="U7" s="48"/>
      <c r="V7" s="48"/>
      <c r="W7" s="48"/>
      <c r="X7" s="48"/>
      <c r="Y7" s="48"/>
      <c r="Z7" s="48"/>
      <c r="AA7" s="48"/>
      <c r="AB7" s="48"/>
      <c r="AC7" s="48"/>
      <c r="AD7" s="48"/>
      <c r="AE7" s="48"/>
      <c r="AF7" s="48"/>
      <c r="AG7" s="48"/>
    </row>
    <row r="8" spans="1:33" x14ac:dyDescent="0.3">
      <c r="A8" s="49"/>
      <c r="B8" s="49"/>
      <c r="C8" s="49"/>
      <c r="D8" s="48"/>
      <c r="E8" s="48"/>
      <c r="F8" s="48"/>
      <c r="G8" s="48"/>
      <c r="H8" s="48"/>
      <c r="I8" s="48"/>
      <c r="J8" s="48"/>
      <c r="K8" s="48"/>
      <c r="L8" s="48"/>
      <c r="M8" s="48"/>
      <c r="N8" s="48"/>
      <c r="O8" s="48"/>
      <c r="P8" s="48"/>
      <c r="Q8" s="48"/>
      <c r="R8" s="48"/>
      <c r="S8" s="48"/>
      <c r="T8" s="48"/>
      <c r="U8" s="48"/>
      <c r="V8" s="48"/>
      <c r="W8" s="66" t="s">
        <v>594</v>
      </c>
      <c r="X8" s="67"/>
      <c r="Y8" s="48"/>
      <c r="Z8" s="48"/>
      <c r="AA8" s="48"/>
      <c r="AB8" s="48"/>
      <c r="AC8" s="48"/>
      <c r="AD8" s="48"/>
      <c r="AE8" s="48"/>
      <c r="AF8" s="48"/>
      <c r="AG8" s="48"/>
    </row>
    <row r="9" spans="1:33" x14ac:dyDescent="0.3">
      <c r="A9" s="52" t="s">
        <v>577</v>
      </c>
      <c r="B9" s="52" t="s">
        <v>633</v>
      </c>
      <c r="C9" s="52" t="s">
        <v>634</v>
      </c>
      <c r="D9" s="48"/>
      <c r="E9" s="48"/>
      <c r="F9" s="48"/>
      <c r="G9" s="48"/>
      <c r="H9" s="48"/>
      <c r="I9" s="48"/>
      <c r="J9" s="48"/>
      <c r="K9" s="48"/>
      <c r="L9" s="48"/>
      <c r="M9" s="48"/>
      <c r="N9" s="48"/>
      <c r="O9" s="48"/>
      <c r="P9" s="48"/>
      <c r="Q9" s="48"/>
      <c r="R9" s="48"/>
      <c r="S9" s="48"/>
      <c r="T9" s="48"/>
      <c r="U9" s="48"/>
      <c r="V9" s="48"/>
      <c r="W9" s="68"/>
      <c r="X9" s="69"/>
      <c r="Y9" s="48"/>
      <c r="Z9" s="48"/>
      <c r="AA9" s="48"/>
      <c r="AB9" s="48"/>
      <c r="AC9" s="48"/>
      <c r="AD9" s="48"/>
      <c r="AE9" s="48"/>
      <c r="AF9" s="48"/>
      <c r="AG9" s="48"/>
    </row>
    <row r="10" spans="1:33" x14ac:dyDescent="0.3">
      <c r="A10" s="60">
        <f>COUNTA('Pivot Tables'!E4:E51)-1</f>
        <v>47</v>
      </c>
      <c r="B10" s="61">
        <f>GETPIVOTDATA("Total Contact Hours",'Pivot Tables'!$E$3)/Dashboard!A10</f>
        <v>5.0212765957446805</v>
      </c>
      <c r="C10" s="61">
        <f>COUNTIF(Table1[Workload Status],"Normal")/COUNTA(Table1[Workload Status])*100</f>
        <v>8.5106382978723403</v>
      </c>
      <c r="D10" s="48"/>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row>
    <row r="11" spans="1:33" x14ac:dyDescent="0.3">
      <c r="A11" s="49"/>
      <c r="B11" s="49"/>
      <c r="C11" s="49"/>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row>
    <row r="12" spans="1:33" x14ac:dyDescent="0.3">
      <c r="A12" s="51" t="s">
        <v>635</v>
      </c>
      <c r="B12" s="62" t="s">
        <v>636</v>
      </c>
      <c r="C12" s="62"/>
      <c r="D12" s="50"/>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row>
    <row r="13" spans="1:33" x14ac:dyDescent="0.3">
      <c r="A13" s="60">
        <f>COUNTA('Pivot Tables'!I4:I44)-1</f>
        <v>40</v>
      </c>
      <c r="B13" s="63">
        <f>COUNTIF(Table4[Utilisation Status],"Properly Utilised")/COUNTA(Table4[Utilisation Status])*100</f>
        <v>50</v>
      </c>
      <c r="C13" s="63"/>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row>
    <row r="14" spans="1:33" x14ac:dyDescent="0.3">
      <c r="A14" s="48"/>
      <c r="B14" s="48"/>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row>
    <row r="15" spans="1:33" x14ac:dyDescent="0.3">
      <c r="A15" s="48"/>
      <c r="B15" s="48"/>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row>
    <row r="16" spans="1:33" x14ac:dyDescent="0.3">
      <c r="A16" s="48"/>
      <c r="B16" s="48"/>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row>
    <row r="17" spans="1:33" x14ac:dyDescent="0.3">
      <c r="A17" s="48"/>
      <c r="B17" s="48"/>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row>
    <row r="18" spans="1:33" x14ac:dyDescent="0.3">
      <c r="A18" s="48"/>
      <c r="B18" s="48"/>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row>
    <row r="19" spans="1:33" x14ac:dyDescent="0.3">
      <c r="A19" s="48"/>
      <c r="B19" s="48"/>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row>
    <row r="20" spans="1:33" x14ac:dyDescent="0.3">
      <c r="A20" s="48"/>
      <c r="B20" s="48"/>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row>
    <row r="21" spans="1:33" x14ac:dyDescent="0.3">
      <c r="A21" s="48"/>
      <c r="B21" s="48"/>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row>
    <row r="22" spans="1:33" x14ac:dyDescent="0.3">
      <c r="A22" s="48"/>
      <c r="B22" s="48"/>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row>
    <row r="23" spans="1:33" x14ac:dyDescent="0.3">
      <c r="A23" s="48"/>
      <c r="B23" s="48"/>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row>
    <row r="24" spans="1:33" x14ac:dyDescent="0.3">
      <c r="A24" s="48"/>
      <c r="B24" s="48"/>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row>
    <row r="25" spans="1:33" x14ac:dyDescent="0.3">
      <c r="A25" s="48"/>
      <c r="B25" s="48"/>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row>
    <row r="26" spans="1:33" x14ac:dyDescent="0.3">
      <c r="A26" s="48"/>
      <c r="B26" s="48"/>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row>
    <row r="27" spans="1:33" x14ac:dyDescent="0.3">
      <c r="A27" s="48"/>
      <c r="B27" s="48"/>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row>
    <row r="28" spans="1:33" x14ac:dyDescent="0.3">
      <c r="A28" s="48"/>
      <c r="B28" s="48"/>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row>
    <row r="29" spans="1:33" x14ac:dyDescent="0.3">
      <c r="A29" s="48"/>
      <c r="B29" s="48"/>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row>
    <row r="30" spans="1:33" x14ac:dyDescent="0.3">
      <c r="A30" s="48"/>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row>
    <row r="31" spans="1:33" x14ac:dyDescent="0.3">
      <c r="A31" s="48"/>
      <c r="B31" s="48"/>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row>
    <row r="32" spans="1:33" x14ac:dyDescent="0.3">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row>
    <row r="33" spans="1:33" x14ac:dyDescent="0.3">
      <c r="A33" s="48"/>
      <c r="B33" s="48"/>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row>
    <row r="34" spans="1:33" x14ac:dyDescent="0.3">
      <c r="A34" s="48"/>
      <c r="B34" s="48"/>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row>
    <row r="35" spans="1:33" x14ac:dyDescent="0.3">
      <c r="A35" s="48"/>
      <c r="B35" s="48"/>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row>
    <row r="36" spans="1:33" x14ac:dyDescent="0.3">
      <c r="A36" s="48"/>
      <c r="B36" s="48"/>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row>
    <row r="37" spans="1:33" x14ac:dyDescent="0.3">
      <c r="A37" s="48"/>
      <c r="B37" s="48"/>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row>
    <row r="38" spans="1:33" x14ac:dyDescent="0.3">
      <c r="A38" s="48"/>
      <c r="B38" s="48"/>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row>
    <row r="39" spans="1:33" x14ac:dyDescent="0.3">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row>
    <row r="40" spans="1:33" x14ac:dyDescent="0.3">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row>
    <row r="41" spans="1:33" x14ac:dyDescent="0.3">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row>
    <row r="42" spans="1:33" x14ac:dyDescent="0.3">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row>
    <row r="43" spans="1:33" x14ac:dyDescent="0.3">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row>
    <row r="44" spans="1:33" x14ac:dyDescent="0.3">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row>
    <row r="45" spans="1:33" x14ac:dyDescent="0.3">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row>
    <row r="46" spans="1:33" x14ac:dyDescent="0.3">
      <c r="A46" s="48"/>
      <c r="B46" s="48"/>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row>
    <row r="47" spans="1:33" x14ac:dyDescent="0.3">
      <c r="A47" s="48"/>
      <c r="B47" s="48"/>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row>
    <row r="48" spans="1:33" x14ac:dyDescent="0.3">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row>
    <row r="49" spans="1:33" x14ac:dyDescent="0.3">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row>
    <row r="50" spans="1:33" x14ac:dyDescent="0.3">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row>
  </sheetData>
  <mergeCells count="4">
    <mergeCell ref="B12:C12"/>
    <mergeCell ref="B13:C13"/>
    <mergeCell ref="A1:X3"/>
    <mergeCell ref="W8:X9"/>
  </mergeCells>
  <hyperlinks>
    <hyperlink ref="W8" location="Index!A1" display="Index!A1" xr:uid="{794B5452-7E3A-452C-B344-65F054FA6303}"/>
  </hyperlink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54AB9CA-84FB-4FAB-884B-976CA6BE98E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Index</vt:lpstr>
      <vt:lpstr>Data Cleaning</vt:lpstr>
      <vt:lpstr>Timetable entry</vt:lpstr>
      <vt:lpstr>Raw Timetable</vt:lpstr>
      <vt:lpstr>Clean Timetable</vt:lpstr>
      <vt:lpstr>Raw Faculty Data</vt:lpstr>
      <vt:lpstr>Clean Faculty Data &amp; Workload</vt:lpstr>
      <vt:lpstr>Raw Room Utilisation </vt:lpstr>
      <vt:lpstr>Modified Room Util</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SAYAR SEKHAR GHOSH</cp:lastModifiedBy>
  <dcterms:created xsi:type="dcterms:W3CDTF">2026-05-18T10:25:07Z</dcterms:created>
  <dcterms:modified xsi:type="dcterms:W3CDTF">2026-05-29T02:24:40Z</dcterms:modified>
</cp:coreProperties>
</file>