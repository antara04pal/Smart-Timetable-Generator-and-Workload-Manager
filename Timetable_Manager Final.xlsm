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C:\Users\SAYAR SEKHAR GHOSH\Desktop\CAs_Notes\Excel_files\"/>
    </mc:Choice>
  </mc:AlternateContent>
  <xr:revisionPtr revIDLastSave="0" documentId="13_ncr:1_{C8E34D29-39DE-4D3E-91FD-D5FF5726AD4F}" xr6:coauthVersionLast="47" xr6:coauthVersionMax="47" xr10:uidLastSave="{00000000-0000-0000-0000-000000000000}"/>
  <bookViews>
    <workbookView xWindow="-108" yWindow="-108" windowWidth="23256" windowHeight="12456" tabRatio="816" xr2:uid="{00000000-000D-0000-FFFF-FFFF00000000}"/>
  </bookViews>
  <sheets>
    <sheet name="Index" sheetId="9" r:id="rId1"/>
    <sheet name="Data Cleaning" sheetId="10" r:id="rId2"/>
    <sheet name="Timetable_Schedule" sheetId="1" r:id="rId3"/>
    <sheet name="Faculty_Workload" sheetId="2" r:id="rId4"/>
    <sheet name="Clean_Timetable_Schedule" sheetId="3" r:id="rId5"/>
    <sheet name="Clean_Faculty_Workload" sheetId="4" r:id="rId6"/>
    <sheet name="Timetable_Pivot" sheetId="5" r:id="rId7"/>
    <sheet name="Faculty_Pivot" sheetId="7" r:id="rId8"/>
    <sheet name="Dashboard" sheetId="8" r:id="rId9"/>
  </sheets>
  <definedNames>
    <definedName name="Slicer_Day">#N/A</definedName>
    <definedName name="Slicer_Designation">#N/A</definedName>
    <definedName name="Slicer_Workload_Status">#N/A</definedName>
  </definedNames>
  <calcPr calcId="191029"/>
  <pivotCaches>
    <pivotCache cacheId="0" r:id="rId10"/>
    <pivotCache cacheId="1" r:id="rId11"/>
  </pivotCaches>
  <extLst>
    <ext xmlns:x14="http://schemas.microsoft.com/office/spreadsheetml/2009/9/main" uri="{BBE1A952-AA13-448e-AADC-164F8A28A991}">
      <x14:slicerCaches>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 i="4" l="1"/>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2" i="4"/>
  <c r="J53" i="3"/>
  <c r="J64" i="3"/>
  <c r="J65" i="3"/>
  <c r="J100" i="3"/>
  <c r="J101" i="3"/>
  <c r="H40" i="3"/>
  <c r="H52" i="3"/>
  <c r="H53" i="3"/>
  <c r="H88" i="3"/>
  <c r="H89" i="3"/>
  <c r="E64" i="3"/>
  <c r="E88" i="3"/>
  <c r="E100" i="3"/>
  <c r="A3" i="3"/>
  <c r="F3" i="3" s="1"/>
  <c r="A4" i="3"/>
  <c r="E4" i="3" s="1"/>
  <c r="A5" i="3"/>
  <c r="I5" i="3" s="1"/>
  <c r="A6" i="3"/>
  <c r="J6" i="3" s="1"/>
  <c r="A7" i="3"/>
  <c r="C7" i="3" s="1"/>
  <c r="A8" i="3"/>
  <c r="I8" i="3" s="1"/>
  <c r="A9" i="3"/>
  <c r="A10" i="3"/>
  <c r="A11" i="3"/>
  <c r="A12" i="3"/>
  <c r="A13" i="3"/>
  <c r="K13" i="3" s="1"/>
  <c r="A14" i="3"/>
  <c r="K14" i="3" s="1"/>
  <c r="A15" i="3"/>
  <c r="F15" i="3" s="1"/>
  <c r="A16" i="3"/>
  <c r="E16" i="3" s="1"/>
  <c r="A17" i="3"/>
  <c r="F17" i="3" s="1"/>
  <c r="A18" i="3"/>
  <c r="A19" i="3"/>
  <c r="A20" i="3"/>
  <c r="J20" i="3" s="1"/>
  <c r="A21" i="3"/>
  <c r="E21" i="3" s="1"/>
  <c r="A22" i="3"/>
  <c r="J22" i="3" s="1"/>
  <c r="A23" i="3"/>
  <c r="G23" i="3" s="1"/>
  <c r="A24" i="3"/>
  <c r="A25" i="3"/>
  <c r="C25" i="3" s="1"/>
  <c r="A26" i="3"/>
  <c r="K26" i="3" s="1"/>
  <c r="A27" i="3"/>
  <c r="A28" i="3"/>
  <c r="A29" i="3"/>
  <c r="A30" i="3"/>
  <c r="A31" i="3"/>
  <c r="A32" i="3"/>
  <c r="A33" i="3"/>
  <c r="A34" i="3"/>
  <c r="C34" i="3" s="1"/>
  <c r="A35" i="3"/>
  <c r="C35" i="3" s="1"/>
  <c r="A36" i="3"/>
  <c r="G36" i="3" s="1"/>
  <c r="A37" i="3"/>
  <c r="F37" i="3" s="1"/>
  <c r="A38" i="3"/>
  <c r="F38" i="3" s="1"/>
  <c r="A39" i="3"/>
  <c r="I39" i="3" s="1"/>
  <c r="A40" i="3"/>
  <c r="C40" i="3" s="1"/>
  <c r="A41" i="3"/>
  <c r="A42" i="3"/>
  <c r="A43" i="3"/>
  <c r="A44" i="3"/>
  <c r="A45" i="3"/>
  <c r="A46" i="3"/>
  <c r="C46" i="3" s="1"/>
  <c r="A47" i="3"/>
  <c r="I47" i="3" s="1"/>
  <c r="A48" i="3"/>
  <c r="F48" i="3" s="1"/>
  <c r="A49" i="3"/>
  <c r="F49" i="3" s="1"/>
  <c r="A50" i="3"/>
  <c r="C50" i="3" s="1"/>
  <c r="A51" i="3"/>
  <c r="F51" i="3" s="1"/>
  <c r="A52" i="3"/>
  <c r="K52" i="3" s="1"/>
  <c r="A53" i="3"/>
  <c r="C53" i="3" s="1"/>
  <c r="A54" i="3"/>
  <c r="I54" i="3" s="1"/>
  <c r="A55" i="3"/>
  <c r="A56" i="3"/>
  <c r="A57" i="3"/>
  <c r="A58" i="3"/>
  <c r="E58" i="3" s="1"/>
  <c r="A59" i="3"/>
  <c r="J59" i="3" s="1"/>
  <c r="A60" i="3"/>
  <c r="A61" i="3"/>
  <c r="A62" i="3"/>
  <c r="A63" i="3"/>
  <c r="G63" i="3" s="1"/>
  <c r="A64" i="3"/>
  <c r="A65" i="3"/>
  <c r="F65" i="3" s="1"/>
  <c r="A66" i="3"/>
  <c r="J66" i="3" s="1"/>
  <c r="A67" i="3"/>
  <c r="A68" i="3"/>
  <c r="K68" i="3" s="1"/>
  <c r="A69" i="3"/>
  <c r="A70" i="3"/>
  <c r="A71" i="3"/>
  <c r="E71" i="3" s="1"/>
  <c r="A72" i="3"/>
  <c r="E72" i="3" s="1"/>
  <c r="A73" i="3"/>
  <c r="G73" i="3" s="1"/>
  <c r="A74" i="3"/>
  <c r="C74" i="3" s="1"/>
  <c r="A75" i="3"/>
  <c r="G75" i="3" s="1"/>
  <c r="A76" i="3"/>
  <c r="G76" i="3" s="1"/>
  <c r="A77" i="3"/>
  <c r="G77" i="3" s="1"/>
  <c r="A78" i="3"/>
  <c r="A79" i="3"/>
  <c r="J79" i="3" s="1"/>
  <c r="A80" i="3"/>
  <c r="A81" i="3"/>
  <c r="I81" i="3" s="1"/>
  <c r="A82" i="3"/>
  <c r="E82" i="3" s="1"/>
  <c r="A83" i="3"/>
  <c r="E83" i="3" s="1"/>
  <c r="A84" i="3"/>
  <c r="J84" i="3" s="1"/>
  <c r="A85" i="3"/>
  <c r="J85" i="3" s="1"/>
  <c r="A86" i="3"/>
  <c r="J86" i="3" s="1"/>
  <c r="A87" i="3"/>
  <c r="E87" i="3" s="1"/>
  <c r="A88" i="3"/>
  <c r="I88" i="3" s="1"/>
  <c r="A89" i="3"/>
  <c r="A90" i="3"/>
  <c r="H90" i="3" s="1"/>
  <c r="A91" i="3"/>
  <c r="H91" i="3" s="1"/>
  <c r="A92" i="3"/>
  <c r="A93" i="3"/>
  <c r="A94" i="3"/>
  <c r="A95" i="3"/>
  <c r="A96" i="3"/>
  <c r="C96" i="3" s="1"/>
  <c r="A97" i="3"/>
  <c r="J97" i="3" s="1"/>
  <c r="A98" i="3"/>
  <c r="J98" i="3" s="1"/>
  <c r="A99" i="3"/>
  <c r="J99" i="3" s="1"/>
  <c r="A100" i="3"/>
  <c r="A101" i="3"/>
  <c r="K101" i="3" s="1"/>
  <c r="A2" i="3"/>
  <c r="K2" i="3" s="1"/>
  <c r="O17" i="4"/>
  <c r="O101" i="4"/>
  <c r="N55" i="4"/>
  <c r="N100" i="4"/>
  <c r="L67" i="4"/>
  <c r="J51" i="4"/>
  <c r="J101" i="4"/>
  <c r="I55" i="4"/>
  <c r="H20" i="4"/>
  <c r="H67" i="4"/>
  <c r="G51" i="4"/>
  <c r="G99" i="4"/>
  <c r="F51" i="4"/>
  <c r="D3" i="4"/>
  <c r="D40" i="4"/>
  <c r="D87" i="4"/>
  <c r="C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2" i="4"/>
  <c r="A2" i="4"/>
  <c r="F2" i="4" s="1"/>
  <c r="A3" i="4"/>
  <c r="I3" i="4" s="1"/>
  <c r="A4" i="4"/>
  <c r="D4" i="4" s="1"/>
  <c r="A5" i="4"/>
  <c r="D5" i="4" s="1"/>
  <c r="A6" i="4"/>
  <c r="O6" i="4" s="1"/>
  <c r="A7" i="4"/>
  <c r="N7" i="4" s="1"/>
  <c r="A8" i="4"/>
  <c r="H8" i="4" s="1"/>
  <c r="A9" i="4"/>
  <c r="I9" i="4" s="1"/>
  <c r="A10" i="4"/>
  <c r="A11" i="4"/>
  <c r="A12" i="4"/>
  <c r="A13" i="4"/>
  <c r="A14" i="4"/>
  <c r="E14" i="4" s="1"/>
  <c r="A15" i="4"/>
  <c r="L15" i="4" s="1"/>
  <c r="A16" i="4"/>
  <c r="L16" i="4" s="1"/>
  <c r="A17" i="4"/>
  <c r="F17" i="4" s="1"/>
  <c r="A18" i="4"/>
  <c r="B18" i="4" s="1"/>
  <c r="A19" i="4"/>
  <c r="G19" i="4" s="1"/>
  <c r="A20" i="4"/>
  <c r="J20" i="4" s="1"/>
  <c r="A21" i="4"/>
  <c r="D21" i="4" s="1"/>
  <c r="A22" i="4"/>
  <c r="A23" i="4"/>
  <c r="A24" i="4"/>
  <c r="A25" i="4"/>
  <c r="A26" i="4"/>
  <c r="G26" i="4" s="1"/>
  <c r="A27" i="4"/>
  <c r="H27" i="4" s="1"/>
  <c r="A28" i="4"/>
  <c r="H28" i="4" s="1"/>
  <c r="A29" i="4"/>
  <c r="L29" i="4" s="1"/>
  <c r="A30" i="4"/>
  <c r="L30" i="4" s="1"/>
  <c r="A31" i="4"/>
  <c r="O31" i="4" s="1"/>
  <c r="A32" i="4"/>
  <c r="G32" i="4" s="1"/>
  <c r="A33" i="4"/>
  <c r="A34" i="4"/>
  <c r="F34" i="4" s="1"/>
  <c r="A35" i="4"/>
  <c r="J35" i="4" s="1"/>
  <c r="A36" i="4"/>
  <c r="A37" i="4"/>
  <c r="A38" i="4"/>
  <c r="I38" i="4" s="1"/>
  <c r="A39" i="4"/>
  <c r="I39" i="4" s="1"/>
  <c r="A40" i="4"/>
  <c r="B40" i="4" s="1"/>
  <c r="A41" i="4"/>
  <c r="D41" i="4" s="1"/>
  <c r="A42" i="4"/>
  <c r="B42" i="4" s="1"/>
  <c r="A43" i="4"/>
  <c r="O43" i="4" s="1"/>
  <c r="A44" i="4"/>
  <c r="D44" i="4" s="1"/>
  <c r="A45" i="4"/>
  <c r="L45" i="4" s="1"/>
  <c r="A46" i="4"/>
  <c r="L46" i="4" s="1"/>
  <c r="A47" i="4"/>
  <c r="B47" i="4" s="1"/>
  <c r="A48" i="4"/>
  <c r="A49" i="4"/>
  <c r="A50" i="4"/>
  <c r="B50" i="4" s="1"/>
  <c r="A51" i="4"/>
  <c r="B51" i="4" s="1"/>
  <c r="A52" i="4"/>
  <c r="G52" i="4" s="1"/>
  <c r="A53" i="4"/>
  <c r="L53" i="4" s="1"/>
  <c r="A54" i="4"/>
  <c r="B54" i="4" s="1"/>
  <c r="A55" i="4"/>
  <c r="J55" i="4" s="1"/>
  <c r="A56" i="4"/>
  <c r="H56" i="4" s="1"/>
  <c r="A57" i="4"/>
  <c r="D57" i="4" s="1"/>
  <c r="A58" i="4"/>
  <c r="A59" i="4"/>
  <c r="O59" i="4" s="1"/>
  <c r="A60" i="4"/>
  <c r="A61" i="4"/>
  <c r="B61" i="4" s="1"/>
  <c r="A62" i="4"/>
  <c r="F62" i="4" s="1"/>
  <c r="A63" i="4"/>
  <c r="F63" i="4" s="1"/>
  <c r="A64" i="4"/>
  <c r="E64" i="4" s="1"/>
  <c r="A65" i="4"/>
  <c r="B65" i="4" s="1"/>
  <c r="A66" i="4"/>
  <c r="D66" i="4" s="1"/>
  <c r="A67" i="4"/>
  <c r="I67" i="4" s="1"/>
  <c r="A68" i="4"/>
  <c r="O68" i="4" s="1"/>
  <c r="A69" i="4"/>
  <c r="E69" i="4" s="1"/>
  <c r="A70" i="4"/>
  <c r="D70" i="4" s="1"/>
  <c r="A71" i="4"/>
  <c r="A72" i="4"/>
  <c r="D72" i="4" s="1"/>
  <c r="A73" i="4"/>
  <c r="A74" i="4"/>
  <c r="E74" i="4" s="1"/>
  <c r="A75" i="4"/>
  <c r="B75" i="4" s="1"/>
  <c r="A76" i="4"/>
  <c r="B76" i="4" s="1"/>
  <c r="A77" i="4"/>
  <c r="I77" i="4" s="1"/>
  <c r="A78" i="4"/>
  <c r="G78" i="4" s="1"/>
  <c r="A79" i="4"/>
  <c r="I79" i="4" s="1"/>
  <c r="A80" i="4"/>
  <c r="N80" i="4" s="1"/>
  <c r="A81" i="4"/>
  <c r="A82" i="4"/>
  <c r="A83" i="4"/>
  <c r="A84" i="4"/>
  <c r="O84" i="4" s="1"/>
  <c r="A85" i="4"/>
  <c r="A86" i="4"/>
  <c r="B86" i="4" s="1"/>
  <c r="A87" i="4"/>
  <c r="B87" i="4" s="1"/>
  <c r="A88" i="4"/>
  <c r="B88" i="4" s="1"/>
  <c r="A89" i="4"/>
  <c r="J89" i="4" s="1"/>
  <c r="A90" i="4"/>
  <c r="J90" i="4" s="1"/>
  <c r="A91" i="4"/>
  <c r="H91" i="4" s="1"/>
  <c r="A92" i="4"/>
  <c r="E92" i="4" s="1"/>
  <c r="A93" i="4"/>
  <c r="H93" i="4" s="1"/>
  <c r="A94" i="4"/>
  <c r="H94" i="4" s="1"/>
  <c r="A95" i="4"/>
  <c r="H95" i="4" s="1"/>
  <c r="A96" i="4"/>
  <c r="A97" i="4"/>
  <c r="F97" i="4" s="1"/>
  <c r="A98" i="4"/>
  <c r="G98" i="4" s="1"/>
  <c r="A99" i="4"/>
  <c r="L99" i="4" s="1"/>
  <c r="A100" i="4"/>
  <c r="G100" i="4" s="1"/>
  <c r="A101" i="4"/>
  <c r="G101" i="4" s="1"/>
  <c r="D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2" i="3"/>
  <c r="B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2" i="3"/>
  <c r="E17" i="3" l="1"/>
  <c r="C6" i="3"/>
  <c r="H4" i="3"/>
  <c r="H5" i="3"/>
  <c r="F54" i="3"/>
  <c r="C88" i="3"/>
  <c r="F53" i="3"/>
  <c r="I53" i="3"/>
  <c r="C84" i="3"/>
  <c r="I49" i="3"/>
  <c r="C83" i="3"/>
  <c r="I23" i="3"/>
  <c r="B101" i="4"/>
  <c r="B56" i="4"/>
  <c r="B32" i="4"/>
  <c r="B4" i="4"/>
  <c r="D86" i="4"/>
  <c r="D39" i="4"/>
  <c r="E2" i="4"/>
  <c r="E53" i="4"/>
  <c r="F87" i="4"/>
  <c r="F50" i="4"/>
  <c r="G88" i="4"/>
  <c r="G50" i="4"/>
  <c r="H66" i="4"/>
  <c r="H19" i="4"/>
  <c r="I53" i="4"/>
  <c r="J100" i="4"/>
  <c r="J50" i="4"/>
  <c r="L66" i="4"/>
  <c r="N99" i="4"/>
  <c r="N53" i="4"/>
  <c r="O100" i="4"/>
  <c r="O16" i="4"/>
  <c r="B14" i="4"/>
  <c r="E62" i="4"/>
  <c r="B100" i="4"/>
  <c r="B55" i="4"/>
  <c r="B31" i="4"/>
  <c r="B3" i="4"/>
  <c r="D74" i="4"/>
  <c r="E101" i="4"/>
  <c r="E52" i="4"/>
  <c r="F86" i="4"/>
  <c r="G87" i="4"/>
  <c r="G45" i="4"/>
  <c r="H65" i="4"/>
  <c r="H15" i="4"/>
  <c r="I52" i="4"/>
  <c r="J99" i="4"/>
  <c r="J38" i="4"/>
  <c r="L65" i="4"/>
  <c r="N98" i="4"/>
  <c r="N52" i="4"/>
  <c r="O86" i="4"/>
  <c r="O15" i="4"/>
  <c r="B99" i="4"/>
  <c r="B53" i="4"/>
  <c r="B30" i="4"/>
  <c r="D20" i="4"/>
  <c r="E100" i="4"/>
  <c r="E50" i="4"/>
  <c r="F78" i="4"/>
  <c r="F30" i="4"/>
  <c r="G86" i="4"/>
  <c r="G44" i="4"/>
  <c r="H45" i="4"/>
  <c r="H5" i="4"/>
  <c r="I51" i="4"/>
  <c r="J98" i="4"/>
  <c r="L64" i="4"/>
  <c r="N89" i="4"/>
  <c r="N41" i="4"/>
  <c r="O76" i="4"/>
  <c r="O7" i="4"/>
  <c r="F98" i="4"/>
  <c r="B98" i="4"/>
  <c r="B52" i="4"/>
  <c r="B29" i="4"/>
  <c r="D19" i="4"/>
  <c r="E89" i="4"/>
  <c r="E30" i="4"/>
  <c r="F77" i="4"/>
  <c r="F29" i="4"/>
  <c r="G43" i="4"/>
  <c r="H44" i="4"/>
  <c r="H4" i="4"/>
  <c r="I50" i="4"/>
  <c r="J87" i="4"/>
  <c r="J18" i="4"/>
  <c r="L44" i="4"/>
  <c r="N88" i="4"/>
  <c r="N40" i="4"/>
  <c r="O75" i="4"/>
  <c r="B62" i="4"/>
  <c r="B89" i="4"/>
  <c r="B28" i="4"/>
  <c r="D18" i="4"/>
  <c r="E88" i="4"/>
  <c r="E29" i="4"/>
  <c r="F76" i="4"/>
  <c r="F28" i="4"/>
  <c r="G77" i="4"/>
  <c r="H43" i="4"/>
  <c r="H3" i="4"/>
  <c r="I41" i="4"/>
  <c r="J86" i="4"/>
  <c r="J17" i="4"/>
  <c r="L43" i="4"/>
  <c r="N77" i="4"/>
  <c r="N39" i="4"/>
  <c r="O74" i="4"/>
  <c r="O5" i="4"/>
  <c r="B44" i="4"/>
  <c r="B27" i="4"/>
  <c r="D56" i="4"/>
  <c r="D17" i="4"/>
  <c r="E86" i="4"/>
  <c r="E28" i="4"/>
  <c r="F66" i="4"/>
  <c r="F14" i="4"/>
  <c r="G76" i="4"/>
  <c r="G18" i="4"/>
  <c r="H42" i="4"/>
  <c r="I40" i="4"/>
  <c r="J74" i="4"/>
  <c r="J16" i="4"/>
  <c r="L42" i="4"/>
  <c r="N76" i="4"/>
  <c r="N28" i="4"/>
  <c r="O56" i="4"/>
  <c r="O4" i="4"/>
  <c r="B43" i="4"/>
  <c r="B26" i="4"/>
  <c r="D100" i="4"/>
  <c r="D55" i="4"/>
  <c r="D16" i="4"/>
  <c r="E68" i="4"/>
  <c r="E26" i="4"/>
  <c r="F65" i="4"/>
  <c r="F4" i="4"/>
  <c r="G65" i="4"/>
  <c r="G17" i="4"/>
  <c r="H41" i="4"/>
  <c r="I26" i="4"/>
  <c r="J64" i="4"/>
  <c r="J5" i="4"/>
  <c r="L41" i="4"/>
  <c r="N75" i="4"/>
  <c r="N27" i="4"/>
  <c r="O55" i="4"/>
  <c r="O3" i="4"/>
  <c r="B38" i="4"/>
  <c r="D99" i="4"/>
  <c r="D54" i="4"/>
  <c r="D15" i="4"/>
  <c r="E67" i="4"/>
  <c r="E17" i="4"/>
  <c r="F64" i="4"/>
  <c r="F3" i="4"/>
  <c r="G64" i="4"/>
  <c r="H40" i="4"/>
  <c r="I76" i="4"/>
  <c r="J63" i="4"/>
  <c r="J4" i="4"/>
  <c r="L27" i="4"/>
  <c r="N74" i="4"/>
  <c r="N26" i="4"/>
  <c r="O54" i="4"/>
  <c r="B41" i="4"/>
  <c r="B17" i="4"/>
  <c r="D98" i="4"/>
  <c r="D53" i="4"/>
  <c r="D14" i="4"/>
  <c r="E66" i="4"/>
  <c r="E16" i="4"/>
  <c r="F54" i="4"/>
  <c r="G2" i="4"/>
  <c r="G63" i="4"/>
  <c r="H39" i="4"/>
  <c r="I75" i="4"/>
  <c r="I8" i="4"/>
  <c r="J62" i="4"/>
  <c r="J3" i="4"/>
  <c r="L17" i="4"/>
  <c r="N64" i="4"/>
  <c r="N8" i="4"/>
  <c r="O50" i="4"/>
  <c r="B16" i="4"/>
  <c r="D92" i="4"/>
  <c r="D52" i="4"/>
  <c r="E65" i="4"/>
  <c r="F53" i="4"/>
  <c r="G62" i="4"/>
  <c r="I74" i="4"/>
  <c r="J56" i="4"/>
  <c r="L69" i="4"/>
  <c r="N63" i="4"/>
  <c r="O32" i="4"/>
  <c r="B74" i="4"/>
  <c r="B39" i="4"/>
  <c r="B15" i="4"/>
  <c r="D91" i="4"/>
  <c r="F99" i="4"/>
  <c r="F52" i="4"/>
  <c r="H92" i="4"/>
  <c r="I56" i="4"/>
  <c r="J2" i="4"/>
  <c r="L68" i="4"/>
  <c r="N62" i="4"/>
  <c r="O2" i="4"/>
  <c r="I85" i="4"/>
  <c r="N85" i="4"/>
  <c r="H85" i="4"/>
  <c r="E85" i="4"/>
  <c r="F85" i="4"/>
  <c r="D85" i="4"/>
  <c r="L73" i="4"/>
  <c r="G73" i="4"/>
  <c r="F73" i="4"/>
  <c r="E73" i="4"/>
  <c r="N73" i="4"/>
  <c r="J73" i="4"/>
  <c r="O73" i="4"/>
  <c r="I73" i="4"/>
  <c r="H49" i="4"/>
  <c r="L49" i="4"/>
  <c r="N49" i="4"/>
  <c r="D49" i="4"/>
  <c r="I49" i="4"/>
  <c r="B49" i="4"/>
  <c r="J49" i="4"/>
  <c r="O49" i="4"/>
  <c r="G49" i="4"/>
  <c r="F49" i="4"/>
  <c r="H37" i="4"/>
  <c r="L37" i="4"/>
  <c r="G37" i="4"/>
  <c r="D37" i="4"/>
  <c r="I37" i="4"/>
  <c r="F37" i="4"/>
  <c r="E37" i="4"/>
  <c r="N37" i="4"/>
  <c r="B37" i="4"/>
  <c r="O25" i="4"/>
  <c r="F25" i="4"/>
  <c r="J25" i="4"/>
  <c r="D25" i="4"/>
  <c r="I25" i="4"/>
  <c r="G25" i="4"/>
  <c r="E25" i="4"/>
  <c r="B25" i="4"/>
  <c r="J13" i="4"/>
  <c r="O13" i="4"/>
  <c r="N13" i="4"/>
  <c r="I13" i="4"/>
  <c r="H13" i="4"/>
  <c r="B13" i="4"/>
  <c r="L13" i="4"/>
  <c r="D13" i="4"/>
  <c r="I96" i="4"/>
  <c r="N96" i="4"/>
  <c r="E96" i="4"/>
  <c r="J96" i="4"/>
  <c r="L96" i="4"/>
  <c r="G96" i="4"/>
  <c r="B96" i="4"/>
  <c r="D96" i="4"/>
  <c r="O96" i="4"/>
  <c r="I72" i="4"/>
  <c r="L72" i="4"/>
  <c r="E72" i="4"/>
  <c r="O72" i="4"/>
  <c r="J72" i="4"/>
  <c r="G72" i="4"/>
  <c r="N72" i="4"/>
  <c r="L60" i="4"/>
  <c r="J60" i="4"/>
  <c r="F60" i="4"/>
  <c r="I60" i="4"/>
  <c r="E60" i="4"/>
  <c r="N60" i="4"/>
  <c r="D60" i="4"/>
  <c r="H60" i="4"/>
  <c r="G60" i="4"/>
  <c r="H36" i="4"/>
  <c r="L36" i="4"/>
  <c r="D36" i="4"/>
  <c r="N36" i="4"/>
  <c r="B36" i="4"/>
  <c r="H24" i="4"/>
  <c r="J24" i="4"/>
  <c r="D24" i="4"/>
  <c r="G24" i="4"/>
  <c r="B24" i="4"/>
  <c r="I24" i="4"/>
  <c r="N24" i="4"/>
  <c r="E24" i="4"/>
  <c r="O24" i="4"/>
  <c r="F24" i="4"/>
  <c r="O12" i="4"/>
  <c r="I12" i="4"/>
  <c r="D12" i="4"/>
  <c r="L12" i="4"/>
  <c r="G12" i="4"/>
  <c r="E12" i="4"/>
  <c r="B12" i="4"/>
  <c r="N12" i="4"/>
  <c r="H12" i="4"/>
  <c r="B73" i="4"/>
  <c r="F72" i="4"/>
  <c r="L25" i="4"/>
  <c r="O85" i="4"/>
  <c r="N95" i="4"/>
  <c r="D95" i="4"/>
  <c r="G95" i="4"/>
  <c r="J95" i="4"/>
  <c r="O95" i="4"/>
  <c r="F95" i="4"/>
  <c r="E95" i="4"/>
  <c r="B95" i="4"/>
  <c r="D71" i="4"/>
  <c r="I71" i="4"/>
  <c r="N71" i="4"/>
  <c r="L71" i="4"/>
  <c r="E71" i="4"/>
  <c r="O71" i="4"/>
  <c r="B71" i="4"/>
  <c r="F71" i="4"/>
  <c r="G71" i="4"/>
  <c r="J71" i="4"/>
  <c r="L47" i="4"/>
  <c r="D47" i="4"/>
  <c r="I47" i="4"/>
  <c r="O47" i="4"/>
  <c r="G47" i="4"/>
  <c r="F47" i="4"/>
  <c r="N47" i="4"/>
  <c r="J47" i="4"/>
  <c r="E47" i="4"/>
  <c r="H35" i="4"/>
  <c r="D35" i="4"/>
  <c r="L35" i="4"/>
  <c r="N35" i="4"/>
  <c r="B35" i="4"/>
  <c r="G35" i="4"/>
  <c r="D23" i="4"/>
  <c r="H23" i="4"/>
  <c r="L23" i="4"/>
  <c r="J23" i="4"/>
  <c r="G23" i="4"/>
  <c r="O23" i="4"/>
  <c r="F23" i="4"/>
  <c r="E23" i="4"/>
  <c r="B23" i="4"/>
  <c r="I23" i="4"/>
  <c r="N23" i="4"/>
  <c r="B72" i="4"/>
  <c r="L24" i="4"/>
  <c r="O36" i="4"/>
  <c r="O82" i="4"/>
  <c r="J82" i="4"/>
  <c r="G82" i="4"/>
  <c r="N82" i="4"/>
  <c r="I82" i="4"/>
  <c r="B82" i="4"/>
  <c r="F82" i="4"/>
  <c r="H82" i="4"/>
  <c r="L82" i="4"/>
  <c r="D82" i="4"/>
  <c r="O58" i="4"/>
  <c r="J58" i="4"/>
  <c r="G58" i="4"/>
  <c r="I58" i="4"/>
  <c r="N58" i="4"/>
  <c r="F58" i="4"/>
  <c r="E58" i="4"/>
  <c r="B58" i="4"/>
  <c r="D58" i="4"/>
  <c r="H58" i="4"/>
  <c r="L58" i="4"/>
  <c r="O34" i="4"/>
  <c r="J34" i="4"/>
  <c r="G34" i="4"/>
  <c r="L34" i="4"/>
  <c r="N34" i="4"/>
  <c r="H34" i="4"/>
  <c r="B34" i="4"/>
  <c r="O35" i="4"/>
  <c r="G81" i="4"/>
  <c r="F81" i="4"/>
  <c r="O81" i="4"/>
  <c r="I81" i="4"/>
  <c r="D81" i="4"/>
  <c r="L81" i="4"/>
  <c r="E81" i="4"/>
  <c r="N81" i="4"/>
  <c r="H81" i="4"/>
  <c r="B81" i="4"/>
  <c r="J81" i="4"/>
  <c r="I57" i="4"/>
  <c r="N57" i="4"/>
  <c r="F57" i="4"/>
  <c r="E57" i="4"/>
  <c r="G57" i="4"/>
  <c r="B57" i="4"/>
  <c r="L57" i="4"/>
  <c r="H57" i="4"/>
  <c r="I33" i="4"/>
  <c r="F33" i="4"/>
  <c r="N33" i="4"/>
  <c r="H33" i="4"/>
  <c r="B33" i="4"/>
  <c r="E33" i="4"/>
  <c r="J33" i="4"/>
  <c r="D33" i="4"/>
  <c r="L33" i="4"/>
  <c r="G33" i="4"/>
  <c r="H9" i="4"/>
  <c r="L9" i="4"/>
  <c r="F9" i="4"/>
  <c r="D9" i="4"/>
  <c r="O9" i="4"/>
  <c r="B9" i="4"/>
  <c r="J9" i="4"/>
  <c r="G9" i="4"/>
  <c r="E9" i="4"/>
  <c r="B97" i="4"/>
  <c r="E49" i="4"/>
  <c r="E82" i="4"/>
  <c r="E36" i="4"/>
  <c r="H72" i="4"/>
  <c r="I95" i="4"/>
  <c r="N25" i="4"/>
  <c r="B59" i="4"/>
  <c r="E35" i="4"/>
  <c r="F12" i="4"/>
  <c r="G36" i="4"/>
  <c r="H71" i="4"/>
  <c r="N9" i="4"/>
  <c r="O60" i="4"/>
  <c r="E34" i="4"/>
  <c r="F96" i="4"/>
  <c r="I36" i="4"/>
  <c r="I35" i="4"/>
  <c r="L95" i="4"/>
  <c r="O57" i="4"/>
  <c r="I97" i="4"/>
  <c r="N97" i="4"/>
  <c r="O97" i="4"/>
  <c r="E97" i="4"/>
  <c r="J97" i="4"/>
  <c r="H97" i="4"/>
  <c r="L97" i="4"/>
  <c r="G97" i="4"/>
  <c r="D97" i="4"/>
  <c r="H61" i="4"/>
  <c r="L61" i="4"/>
  <c r="O61" i="4"/>
  <c r="J61" i="4"/>
  <c r="F61" i="4"/>
  <c r="G61" i="4"/>
  <c r="I61" i="4"/>
  <c r="N61" i="4"/>
  <c r="D61" i="4"/>
  <c r="E61" i="4"/>
  <c r="I84" i="4"/>
  <c r="N84" i="4"/>
  <c r="H84" i="4"/>
  <c r="E84" i="4"/>
  <c r="B84" i="4"/>
  <c r="L84" i="4"/>
  <c r="G84" i="4"/>
  <c r="D84" i="4"/>
  <c r="F84" i="4"/>
  <c r="H48" i="4"/>
  <c r="L48" i="4"/>
  <c r="I48" i="4"/>
  <c r="O48" i="4"/>
  <c r="E48" i="4"/>
  <c r="G48" i="4"/>
  <c r="D48" i="4"/>
  <c r="J48" i="4"/>
  <c r="F48" i="4"/>
  <c r="O37" i="4"/>
  <c r="I83" i="4"/>
  <c r="D83" i="4"/>
  <c r="N83" i="4"/>
  <c r="E83" i="4"/>
  <c r="O83" i="4"/>
  <c r="L83" i="4"/>
  <c r="J83" i="4"/>
  <c r="F83" i="4"/>
  <c r="H83" i="4"/>
  <c r="B83" i="4"/>
  <c r="G83" i="4"/>
  <c r="D59" i="4"/>
  <c r="I59" i="4"/>
  <c r="J59" i="4"/>
  <c r="F59" i="4"/>
  <c r="G59" i="4"/>
  <c r="E59" i="4"/>
  <c r="N59" i="4"/>
  <c r="H59" i="4"/>
  <c r="L59" i="4"/>
  <c r="D11" i="4"/>
  <c r="H11" i="4"/>
  <c r="I11" i="4"/>
  <c r="O11" i="4"/>
  <c r="F11" i="4"/>
  <c r="J11" i="4"/>
  <c r="N11" i="4"/>
  <c r="L11" i="4"/>
  <c r="B11" i="4"/>
  <c r="G11" i="4"/>
  <c r="E11" i="4"/>
  <c r="O94" i="4"/>
  <c r="J94" i="4"/>
  <c r="G94" i="4"/>
  <c r="D94" i="4"/>
  <c r="I94" i="4"/>
  <c r="E94" i="4"/>
  <c r="B94" i="4"/>
  <c r="F94" i="4"/>
  <c r="O70" i="4"/>
  <c r="J70" i="4"/>
  <c r="G70" i="4"/>
  <c r="I70" i="4"/>
  <c r="N70" i="4"/>
  <c r="L70" i="4"/>
  <c r="E70" i="4"/>
  <c r="H70" i="4"/>
  <c r="B70" i="4"/>
  <c r="F70" i="4"/>
  <c r="O46" i="4"/>
  <c r="J46" i="4"/>
  <c r="G46" i="4"/>
  <c r="I46" i="4"/>
  <c r="E46" i="4"/>
  <c r="B46" i="4"/>
  <c r="F46" i="4"/>
  <c r="D46" i="4"/>
  <c r="N46" i="4"/>
  <c r="O22" i="4"/>
  <c r="J22" i="4"/>
  <c r="G22" i="4"/>
  <c r="H22" i="4"/>
  <c r="L22" i="4"/>
  <c r="D22" i="4"/>
  <c r="B22" i="4"/>
  <c r="F22" i="4"/>
  <c r="E22" i="4"/>
  <c r="I22" i="4"/>
  <c r="N22" i="4"/>
  <c r="O10" i="4"/>
  <c r="J10" i="4"/>
  <c r="G10" i="4"/>
  <c r="H10" i="4"/>
  <c r="L10" i="4"/>
  <c r="F10" i="4"/>
  <c r="D10" i="4"/>
  <c r="B10" i="4"/>
  <c r="N10" i="4"/>
  <c r="E10" i="4"/>
  <c r="E13" i="4"/>
  <c r="G93" i="4"/>
  <c r="J93" i="4"/>
  <c r="F93" i="4"/>
  <c r="O93" i="4"/>
  <c r="B93" i="4"/>
  <c r="N93" i="4"/>
  <c r="E93" i="4"/>
  <c r="I93" i="4"/>
  <c r="N69" i="4"/>
  <c r="F69" i="4"/>
  <c r="H69" i="4"/>
  <c r="B69" i="4"/>
  <c r="G69" i="4"/>
  <c r="D69" i="4"/>
  <c r="J69" i="4"/>
  <c r="O69" i="4"/>
  <c r="I69" i="4"/>
  <c r="I45" i="4"/>
  <c r="N45" i="4"/>
  <c r="F45" i="4"/>
  <c r="O45" i="4"/>
  <c r="E45" i="4"/>
  <c r="B45" i="4"/>
  <c r="J45" i="4"/>
  <c r="D45" i="4"/>
  <c r="L21" i="4"/>
  <c r="F21" i="4"/>
  <c r="G21" i="4"/>
  <c r="B21" i="4"/>
  <c r="E21" i="4"/>
  <c r="O21" i="4"/>
  <c r="I21" i="4"/>
  <c r="N21" i="4"/>
  <c r="J21" i="4"/>
  <c r="G85" i="4"/>
  <c r="H73" i="4"/>
  <c r="J57" i="4"/>
  <c r="J12" i="4"/>
  <c r="O33" i="4"/>
  <c r="B60" i="4"/>
  <c r="D93" i="4"/>
  <c r="F13" i="4"/>
  <c r="B85" i="4"/>
  <c r="H25" i="4"/>
  <c r="I34" i="4"/>
  <c r="L94" i="4"/>
  <c r="N94" i="4"/>
  <c r="F36" i="4"/>
  <c r="G13" i="4"/>
  <c r="H47" i="4"/>
  <c r="H21" i="4"/>
  <c r="J85" i="4"/>
  <c r="J37" i="4"/>
  <c r="L93" i="4"/>
  <c r="N48" i="4"/>
  <c r="B48" i="4"/>
  <c r="D73" i="4"/>
  <c r="D34" i="4"/>
  <c r="F35" i="4"/>
  <c r="H96" i="4"/>
  <c r="H46" i="4"/>
  <c r="I10" i="4"/>
  <c r="J84" i="4"/>
  <c r="J36" i="4"/>
  <c r="L85" i="4"/>
  <c r="D68" i="4"/>
  <c r="D32" i="4"/>
  <c r="E80" i="4"/>
  <c r="J32" i="4"/>
  <c r="N92" i="4"/>
  <c r="G79" i="4"/>
  <c r="F79" i="4"/>
  <c r="J79" i="4"/>
  <c r="O79" i="4"/>
  <c r="F55" i="4"/>
  <c r="G55" i="4"/>
  <c r="L55" i="4"/>
  <c r="I31" i="4"/>
  <c r="F31" i="4"/>
  <c r="N31" i="4"/>
  <c r="E31" i="4"/>
  <c r="F7" i="4"/>
  <c r="I7" i="4"/>
  <c r="J7" i="4"/>
  <c r="E7" i="4"/>
  <c r="D67" i="4"/>
  <c r="D31" i="4"/>
  <c r="E43" i="4"/>
  <c r="I92" i="4"/>
  <c r="I43" i="4"/>
  <c r="J31" i="4"/>
  <c r="N78" i="4"/>
  <c r="I78" i="4"/>
  <c r="J78" i="4"/>
  <c r="O78" i="4"/>
  <c r="N42" i="4"/>
  <c r="I42" i="4"/>
  <c r="G42" i="4"/>
  <c r="J42" i="4"/>
  <c r="F42" i="4"/>
  <c r="N6" i="4"/>
  <c r="I6" i="4"/>
  <c r="F6" i="4"/>
  <c r="J6" i="4"/>
  <c r="E6" i="4"/>
  <c r="G6" i="4"/>
  <c r="D30" i="4"/>
  <c r="E42" i="4"/>
  <c r="G8" i="4"/>
  <c r="O77" i="4"/>
  <c r="H77" i="4"/>
  <c r="J77" i="4"/>
  <c r="D77" i="4"/>
  <c r="G41" i="4"/>
  <c r="J41" i="4"/>
  <c r="F41" i="4"/>
  <c r="D65" i="4"/>
  <c r="E77" i="4"/>
  <c r="E41" i="4"/>
  <c r="E8" i="4"/>
  <c r="G30" i="4"/>
  <c r="L100" i="4"/>
  <c r="I100" i="4"/>
  <c r="H88" i="4"/>
  <c r="L88" i="4"/>
  <c r="F88" i="4"/>
  <c r="D88" i="4"/>
  <c r="H76" i="4"/>
  <c r="L76" i="4"/>
  <c r="J76" i="4"/>
  <c r="D76" i="4"/>
  <c r="O64" i="4"/>
  <c r="H64" i="4"/>
  <c r="I64" i="4"/>
  <c r="D64" i="4"/>
  <c r="J52" i="4"/>
  <c r="O52" i="4"/>
  <c r="H52" i="4"/>
  <c r="G40" i="4"/>
  <c r="J40" i="4"/>
  <c r="O40" i="4"/>
  <c r="F40" i="4"/>
  <c r="L40" i="4"/>
  <c r="G28" i="4"/>
  <c r="J28" i="4"/>
  <c r="O28" i="4"/>
  <c r="I28" i="4"/>
  <c r="N16" i="4"/>
  <c r="G16" i="4"/>
  <c r="H16" i="4"/>
  <c r="I4" i="4"/>
  <c r="N4" i="4"/>
  <c r="G4" i="4"/>
  <c r="E4" i="4"/>
  <c r="L4" i="4"/>
  <c r="B92" i="4"/>
  <c r="B79" i="4"/>
  <c r="B7" i="4"/>
  <c r="D80" i="4"/>
  <c r="D28" i="4"/>
  <c r="D8" i="4"/>
  <c r="E76" i="4"/>
  <c r="E56" i="4"/>
  <c r="E40" i="4"/>
  <c r="F39" i="4"/>
  <c r="H100" i="4"/>
  <c r="H80" i="4"/>
  <c r="H31" i="4"/>
  <c r="I88" i="4"/>
  <c r="I62" i="4"/>
  <c r="I16" i="4"/>
  <c r="L79" i="4"/>
  <c r="L7" i="4"/>
  <c r="N38" i="4"/>
  <c r="O89" i="4"/>
  <c r="O20" i="4"/>
  <c r="J91" i="4"/>
  <c r="F91" i="4"/>
  <c r="O91" i="4"/>
  <c r="L91" i="4"/>
  <c r="G91" i="4"/>
  <c r="F67" i="4"/>
  <c r="G67" i="4"/>
  <c r="J67" i="4"/>
  <c r="N67" i="4"/>
  <c r="N43" i="4"/>
  <c r="F43" i="4"/>
  <c r="J43" i="4"/>
  <c r="F19" i="4"/>
  <c r="I19" i="4"/>
  <c r="N19" i="4"/>
  <c r="L19" i="4"/>
  <c r="E19" i="4"/>
  <c r="B68" i="4"/>
  <c r="E79" i="4"/>
  <c r="N91" i="4"/>
  <c r="N90" i="4"/>
  <c r="I90" i="4"/>
  <c r="O90" i="4"/>
  <c r="H90" i="4"/>
  <c r="L90" i="4"/>
  <c r="G90" i="4"/>
  <c r="F90" i="4"/>
  <c r="D90" i="4"/>
  <c r="N66" i="4"/>
  <c r="I66" i="4"/>
  <c r="G66" i="4"/>
  <c r="J66" i="4"/>
  <c r="O66" i="4"/>
  <c r="N30" i="4"/>
  <c r="I30" i="4"/>
  <c r="O30" i="4"/>
  <c r="H101" i="4"/>
  <c r="L101" i="4"/>
  <c r="N101" i="4"/>
  <c r="D101" i="4"/>
  <c r="I101" i="4"/>
  <c r="J65" i="4"/>
  <c r="O65" i="4"/>
  <c r="N65" i="4"/>
  <c r="I65" i="4"/>
  <c r="I17" i="4"/>
  <c r="N17" i="4"/>
  <c r="H17" i="4"/>
  <c r="J29" i="4"/>
  <c r="L80" i="4"/>
  <c r="L31" i="4"/>
  <c r="E99" i="4"/>
  <c r="I99" i="4"/>
  <c r="O99" i="4"/>
  <c r="L87" i="4"/>
  <c r="E87" i="4"/>
  <c r="N87" i="4"/>
  <c r="H87" i="4"/>
  <c r="H75" i="4"/>
  <c r="E75" i="4"/>
  <c r="L75" i="4"/>
  <c r="J75" i="4"/>
  <c r="D75" i="4"/>
  <c r="G75" i="4"/>
  <c r="F75" i="4"/>
  <c r="E63" i="4"/>
  <c r="H63" i="4"/>
  <c r="L63" i="4"/>
  <c r="I63" i="4"/>
  <c r="D63" i="4"/>
  <c r="O63" i="4"/>
  <c r="O51" i="4"/>
  <c r="E51" i="4"/>
  <c r="H51" i="4"/>
  <c r="N51" i="4"/>
  <c r="D51" i="4"/>
  <c r="J39" i="4"/>
  <c r="E39" i="4"/>
  <c r="O39" i="4"/>
  <c r="L39" i="4"/>
  <c r="G39" i="4"/>
  <c r="G27" i="4"/>
  <c r="E27" i="4"/>
  <c r="J27" i="4"/>
  <c r="O27" i="4"/>
  <c r="I27" i="4"/>
  <c r="F27" i="4"/>
  <c r="E15" i="4"/>
  <c r="G15" i="4"/>
  <c r="J15" i="4"/>
  <c r="N15" i="4"/>
  <c r="N3" i="4"/>
  <c r="E3" i="4"/>
  <c r="G3" i="4"/>
  <c r="L3" i="4"/>
  <c r="B91" i="4"/>
  <c r="B78" i="4"/>
  <c r="B64" i="4"/>
  <c r="B20" i="4"/>
  <c r="B6" i="4"/>
  <c r="D79" i="4"/>
  <c r="D43" i="4"/>
  <c r="D27" i="4"/>
  <c r="D7" i="4"/>
  <c r="E91" i="4"/>
  <c r="E55" i="4"/>
  <c r="E38" i="4"/>
  <c r="F101" i="4"/>
  <c r="F38" i="4"/>
  <c r="F16" i="4"/>
  <c r="H99" i="4"/>
  <c r="H79" i="4"/>
  <c r="H30" i="4"/>
  <c r="H7" i="4"/>
  <c r="I87" i="4"/>
  <c r="I15" i="4"/>
  <c r="L78" i="4"/>
  <c r="L52" i="4"/>
  <c r="L6" i="4"/>
  <c r="O88" i="4"/>
  <c r="O42" i="4"/>
  <c r="O19" i="4"/>
  <c r="G92" i="4"/>
  <c r="J92" i="4"/>
  <c r="F92" i="4"/>
  <c r="O92" i="4"/>
  <c r="L92" i="4"/>
  <c r="G80" i="4"/>
  <c r="F80" i="4"/>
  <c r="J80" i="4"/>
  <c r="O80" i="4"/>
  <c r="I80" i="4"/>
  <c r="F68" i="4"/>
  <c r="G68" i="4"/>
  <c r="H68" i="4"/>
  <c r="N68" i="4"/>
  <c r="N56" i="4"/>
  <c r="F56" i="4"/>
  <c r="G56" i="4"/>
  <c r="L56" i="4"/>
  <c r="I44" i="4"/>
  <c r="N44" i="4"/>
  <c r="F44" i="4"/>
  <c r="O44" i="4"/>
  <c r="E44" i="4"/>
  <c r="J44" i="4"/>
  <c r="I32" i="4"/>
  <c r="F32" i="4"/>
  <c r="N32" i="4"/>
  <c r="H32" i="4"/>
  <c r="E32" i="4"/>
  <c r="F20" i="4"/>
  <c r="I20" i="4"/>
  <c r="G20" i="4"/>
  <c r="L20" i="4"/>
  <c r="E20" i="4"/>
  <c r="L8" i="4"/>
  <c r="F8" i="4"/>
  <c r="O8" i="4"/>
  <c r="J8" i="4"/>
  <c r="N54" i="4"/>
  <c r="I54" i="4"/>
  <c r="G54" i="4"/>
  <c r="J54" i="4"/>
  <c r="L54" i="4"/>
  <c r="H54" i="4"/>
  <c r="N18" i="4"/>
  <c r="I18" i="4"/>
  <c r="F18" i="4"/>
  <c r="L18" i="4"/>
  <c r="E18" i="4"/>
  <c r="H18" i="4"/>
  <c r="B67" i="4"/>
  <c r="E78" i="4"/>
  <c r="G31" i="4"/>
  <c r="I91" i="4"/>
  <c r="I68" i="4"/>
  <c r="J30" i="4"/>
  <c r="L32" i="4"/>
  <c r="H89" i="4"/>
  <c r="L89" i="4"/>
  <c r="G89" i="4"/>
  <c r="F89" i="4"/>
  <c r="D89" i="4"/>
  <c r="G53" i="4"/>
  <c r="J53" i="4"/>
  <c r="O53" i="4"/>
  <c r="H53" i="4"/>
  <c r="N29" i="4"/>
  <c r="G29" i="4"/>
  <c r="O29" i="4"/>
  <c r="I29" i="4"/>
  <c r="F5" i="4"/>
  <c r="I5" i="4"/>
  <c r="N5" i="4"/>
  <c r="E5" i="4"/>
  <c r="G5" i="4"/>
  <c r="B80" i="4"/>
  <c r="B66" i="4"/>
  <c r="B8" i="4"/>
  <c r="D29" i="4"/>
  <c r="G7" i="4"/>
  <c r="I89" i="4"/>
  <c r="N20" i="4"/>
  <c r="L98" i="4"/>
  <c r="H98" i="4"/>
  <c r="I98" i="4"/>
  <c r="O98" i="4"/>
  <c r="E98" i="4"/>
  <c r="L86" i="4"/>
  <c r="H86" i="4"/>
  <c r="N86" i="4"/>
  <c r="L74" i="4"/>
  <c r="H74" i="4"/>
  <c r="G74" i="4"/>
  <c r="F74" i="4"/>
  <c r="L62" i="4"/>
  <c r="H62" i="4"/>
  <c r="D62" i="4"/>
  <c r="O62" i="4"/>
  <c r="L50" i="4"/>
  <c r="H50" i="4"/>
  <c r="N50" i="4"/>
  <c r="D50" i="4"/>
  <c r="L38" i="4"/>
  <c r="H38" i="4"/>
  <c r="O38" i="4"/>
  <c r="G38" i="4"/>
  <c r="D38" i="4"/>
  <c r="L26" i="4"/>
  <c r="H26" i="4"/>
  <c r="J26" i="4"/>
  <c r="O26" i="4"/>
  <c r="F26" i="4"/>
  <c r="L14" i="4"/>
  <c r="H14" i="4"/>
  <c r="G14" i="4"/>
  <c r="J14" i="4"/>
  <c r="O14" i="4"/>
  <c r="N14" i="4"/>
  <c r="N2" i="4"/>
  <c r="I2" i="4"/>
  <c r="H2" i="4"/>
  <c r="L2" i="4"/>
  <c r="D2" i="4"/>
  <c r="B2" i="4"/>
  <c r="B90" i="4"/>
  <c r="B77" i="4"/>
  <c r="B63" i="4"/>
  <c r="B19" i="4"/>
  <c r="B5" i="4"/>
  <c r="D78" i="4"/>
  <c r="D42" i="4"/>
  <c r="D26" i="4"/>
  <c r="D6" i="4"/>
  <c r="E90" i="4"/>
  <c r="E54" i="4"/>
  <c r="F100" i="4"/>
  <c r="F15" i="4"/>
  <c r="H78" i="4"/>
  <c r="H55" i="4"/>
  <c r="H29" i="4"/>
  <c r="H6" i="4"/>
  <c r="I86" i="4"/>
  <c r="I14" i="4"/>
  <c r="J88" i="4"/>
  <c r="J68" i="4"/>
  <c r="J19" i="4"/>
  <c r="L77" i="4"/>
  <c r="L51" i="4"/>
  <c r="L28" i="4"/>
  <c r="L5" i="4"/>
  <c r="N79" i="4"/>
  <c r="O87" i="4"/>
  <c r="O67" i="4"/>
  <c r="O41" i="4"/>
  <c r="O18" i="4"/>
  <c r="F63" i="3"/>
  <c r="I38" i="3"/>
  <c r="G38" i="3"/>
  <c r="I37" i="3"/>
  <c r="G37" i="3"/>
  <c r="H39" i="3"/>
  <c r="E86" i="3"/>
  <c r="G35" i="3"/>
  <c r="C73" i="3"/>
  <c r="H97" i="3"/>
  <c r="F14" i="3"/>
  <c r="H3" i="3"/>
  <c r="K84" i="3"/>
  <c r="C39" i="3"/>
  <c r="E59" i="3"/>
  <c r="F13" i="3"/>
  <c r="I86" i="3"/>
  <c r="C38" i="3"/>
  <c r="K51" i="3"/>
  <c r="C37" i="3"/>
  <c r="G84" i="3"/>
  <c r="K50" i="3"/>
  <c r="H86" i="3"/>
  <c r="I51" i="3"/>
  <c r="J71" i="3"/>
  <c r="H85" i="3"/>
  <c r="I50" i="3"/>
  <c r="K25" i="3"/>
  <c r="K44" i="3"/>
  <c r="J44" i="3"/>
  <c r="J91" i="3"/>
  <c r="K91" i="3"/>
  <c r="I91" i="3"/>
  <c r="C91" i="3"/>
  <c r="F91" i="3"/>
  <c r="J67" i="3"/>
  <c r="E67" i="3"/>
  <c r="K67" i="3"/>
  <c r="H67" i="3"/>
  <c r="J55" i="3"/>
  <c r="I55" i="3"/>
  <c r="G55" i="3"/>
  <c r="F55" i="3"/>
  <c r="J43" i="3"/>
  <c r="F43" i="3"/>
  <c r="G43" i="3"/>
  <c r="H43" i="3"/>
  <c r="J31" i="3"/>
  <c r="K31" i="3"/>
  <c r="G31" i="3"/>
  <c r="C31" i="3"/>
  <c r="E31" i="3"/>
  <c r="J19" i="3"/>
  <c r="C19" i="3"/>
  <c r="J7" i="3"/>
  <c r="I7" i="3"/>
  <c r="E55" i="3"/>
  <c r="E7" i="3"/>
  <c r="J2" i="3"/>
  <c r="H2" i="3"/>
  <c r="I2" i="3"/>
  <c r="J90" i="3"/>
  <c r="I90" i="3"/>
  <c r="G90" i="3"/>
  <c r="F90" i="3"/>
  <c r="G78" i="3"/>
  <c r="J78" i="3"/>
  <c r="H78" i="3"/>
  <c r="C66" i="3"/>
  <c r="K66" i="3"/>
  <c r="I66" i="3"/>
  <c r="E66" i="3"/>
  <c r="H66" i="3"/>
  <c r="C54" i="3"/>
  <c r="J54" i="3"/>
  <c r="G42" i="3"/>
  <c r="H42" i="3"/>
  <c r="C42" i="3"/>
  <c r="I42" i="3"/>
  <c r="I30" i="3"/>
  <c r="C30" i="3"/>
  <c r="E30" i="3"/>
  <c r="K30" i="3"/>
  <c r="F18" i="3"/>
  <c r="J18" i="3"/>
  <c r="K6" i="3"/>
  <c r="I6" i="3"/>
  <c r="E6" i="3"/>
  <c r="C78" i="3"/>
  <c r="E54" i="3"/>
  <c r="G30" i="3"/>
  <c r="K90" i="3"/>
  <c r="K43" i="3"/>
  <c r="H101" i="3"/>
  <c r="E101" i="3"/>
  <c r="I101" i="3"/>
  <c r="F101" i="3"/>
  <c r="J89" i="3"/>
  <c r="I89" i="3"/>
  <c r="G89" i="3"/>
  <c r="H77" i="3"/>
  <c r="J77" i="3"/>
  <c r="K77" i="3"/>
  <c r="G65" i="3"/>
  <c r="K65" i="3"/>
  <c r="I65" i="3"/>
  <c r="H65" i="3"/>
  <c r="C65" i="3"/>
  <c r="H41" i="3"/>
  <c r="C41" i="3"/>
  <c r="I41" i="3"/>
  <c r="E41" i="3"/>
  <c r="K41" i="3"/>
  <c r="E29" i="3"/>
  <c r="K29" i="3"/>
  <c r="H29" i="3"/>
  <c r="F29" i="3"/>
  <c r="I17" i="3"/>
  <c r="H17" i="3"/>
  <c r="K5" i="3"/>
  <c r="E5" i="3"/>
  <c r="J5" i="3"/>
  <c r="C5" i="3"/>
  <c r="C77" i="3"/>
  <c r="E53" i="3"/>
  <c r="F2" i="3"/>
  <c r="G29" i="3"/>
  <c r="H31" i="3"/>
  <c r="I79" i="3"/>
  <c r="J42" i="3"/>
  <c r="K89" i="3"/>
  <c r="K42" i="3"/>
  <c r="I100" i="3"/>
  <c r="H100" i="3"/>
  <c r="K100" i="3"/>
  <c r="I76" i="3"/>
  <c r="H76" i="3"/>
  <c r="C76" i="3"/>
  <c r="K76" i="3"/>
  <c r="I64" i="3"/>
  <c r="K64" i="3"/>
  <c r="G64" i="3"/>
  <c r="C64" i="3"/>
  <c r="I52" i="3"/>
  <c r="J52" i="3"/>
  <c r="I40" i="3"/>
  <c r="E40" i="3"/>
  <c r="K40" i="3"/>
  <c r="I28" i="3"/>
  <c r="J28" i="3"/>
  <c r="G28" i="3"/>
  <c r="K28" i="3"/>
  <c r="H28" i="3"/>
  <c r="I16" i="3"/>
  <c r="H16" i="3"/>
  <c r="I4" i="3"/>
  <c r="K4" i="3"/>
  <c r="J4" i="3"/>
  <c r="C4" i="3"/>
  <c r="G4" i="3"/>
  <c r="C29" i="3"/>
  <c r="E52" i="3"/>
  <c r="F89" i="3"/>
  <c r="F42" i="3"/>
  <c r="G2" i="3"/>
  <c r="G54" i="3"/>
  <c r="G19" i="3"/>
  <c r="H30" i="3"/>
  <c r="I78" i="3"/>
  <c r="J41" i="3"/>
  <c r="K88" i="3"/>
  <c r="H99" i="3"/>
  <c r="E99" i="3"/>
  <c r="C99" i="3"/>
  <c r="I99" i="3"/>
  <c r="G99" i="3"/>
  <c r="C87" i="3"/>
  <c r="J87" i="3"/>
  <c r="C75" i="3"/>
  <c r="F75" i="3"/>
  <c r="I63" i="3"/>
  <c r="K63" i="3"/>
  <c r="C63" i="3"/>
  <c r="I27" i="3"/>
  <c r="K27" i="3"/>
  <c r="F27" i="3"/>
  <c r="H15" i="3"/>
  <c r="I15" i="3"/>
  <c r="I3" i="3"/>
  <c r="J3" i="3"/>
  <c r="C28" i="3"/>
  <c r="E43" i="3"/>
  <c r="F87" i="3"/>
  <c r="F41" i="3"/>
  <c r="G101" i="3"/>
  <c r="G53" i="3"/>
  <c r="G18" i="3"/>
  <c r="H19" i="3"/>
  <c r="I77" i="3"/>
  <c r="J88" i="3"/>
  <c r="J40" i="3"/>
  <c r="E98" i="3"/>
  <c r="C98" i="3"/>
  <c r="H98" i="3"/>
  <c r="G98" i="3"/>
  <c r="F74" i="3"/>
  <c r="G74" i="3"/>
  <c r="E74" i="3"/>
  <c r="G62" i="3"/>
  <c r="F62" i="3"/>
  <c r="H26" i="3"/>
  <c r="F26" i="3"/>
  <c r="C2" i="3"/>
  <c r="C62" i="3"/>
  <c r="C26" i="3"/>
  <c r="E79" i="3"/>
  <c r="E42" i="3"/>
  <c r="F79" i="3"/>
  <c r="F39" i="3"/>
  <c r="G100" i="3"/>
  <c r="G52" i="3"/>
  <c r="G17" i="3"/>
  <c r="H79" i="3"/>
  <c r="H18" i="3"/>
  <c r="I75" i="3"/>
  <c r="I29" i="3"/>
  <c r="J76" i="3"/>
  <c r="J30" i="3"/>
  <c r="K79" i="3"/>
  <c r="K18" i="3"/>
  <c r="K97" i="3"/>
  <c r="G97" i="3"/>
  <c r="C97" i="3"/>
  <c r="G61" i="3"/>
  <c r="F61" i="3"/>
  <c r="I61" i="3"/>
  <c r="G49" i="3"/>
  <c r="J49" i="3"/>
  <c r="C101" i="3"/>
  <c r="C61" i="3"/>
  <c r="C18" i="3"/>
  <c r="E78" i="3"/>
  <c r="E28" i="3"/>
  <c r="F78" i="3"/>
  <c r="G88" i="3"/>
  <c r="G51" i="3"/>
  <c r="G16" i="3"/>
  <c r="H73" i="3"/>
  <c r="H14" i="3"/>
  <c r="I74" i="3"/>
  <c r="I25" i="3"/>
  <c r="J74" i="3"/>
  <c r="J29" i="3"/>
  <c r="K78" i="3"/>
  <c r="K17" i="3"/>
  <c r="J60" i="3"/>
  <c r="I60" i="3"/>
  <c r="G24" i="3"/>
  <c r="F24" i="3"/>
  <c r="I24" i="3"/>
  <c r="C100" i="3"/>
  <c r="C60" i="3"/>
  <c r="C17" i="3"/>
  <c r="E77" i="3"/>
  <c r="E27" i="3"/>
  <c r="F77" i="3"/>
  <c r="G87" i="3"/>
  <c r="G50" i="3"/>
  <c r="G7" i="3"/>
  <c r="H64" i="3"/>
  <c r="H13" i="3"/>
  <c r="I73" i="3"/>
  <c r="J73" i="3"/>
  <c r="J17" i="3"/>
  <c r="K55" i="3"/>
  <c r="K16" i="3"/>
  <c r="C90" i="3"/>
  <c r="C52" i="3"/>
  <c r="C16" i="3"/>
  <c r="E76" i="3"/>
  <c r="E19" i="3"/>
  <c r="F67" i="3"/>
  <c r="F30" i="3"/>
  <c r="G86" i="3"/>
  <c r="G41" i="3"/>
  <c r="G6" i="3"/>
  <c r="H55" i="3"/>
  <c r="H7" i="3"/>
  <c r="I67" i="3"/>
  <c r="I14" i="3"/>
  <c r="J72" i="3"/>
  <c r="J16" i="3"/>
  <c r="K54" i="3"/>
  <c r="K3" i="3"/>
  <c r="C89" i="3"/>
  <c r="C43" i="3"/>
  <c r="C13" i="3"/>
  <c r="E65" i="3"/>
  <c r="E18" i="3"/>
  <c r="F66" i="3"/>
  <c r="F25" i="3"/>
  <c r="G85" i="3"/>
  <c r="G40" i="3"/>
  <c r="G5" i="3"/>
  <c r="H54" i="3"/>
  <c r="H6" i="3"/>
  <c r="I62" i="3"/>
  <c r="I13" i="3"/>
  <c r="J15" i="3"/>
  <c r="K53" i="3"/>
  <c r="J23" i="3"/>
  <c r="F23" i="3"/>
  <c r="C94" i="3"/>
  <c r="G94" i="3"/>
  <c r="J94" i="3"/>
  <c r="H94" i="3"/>
  <c r="E94" i="3"/>
  <c r="F94" i="3"/>
  <c r="I94" i="3"/>
  <c r="K94" i="3"/>
  <c r="F70" i="3"/>
  <c r="I70" i="3"/>
  <c r="H70" i="3"/>
  <c r="C70" i="3"/>
  <c r="H58" i="3"/>
  <c r="C93" i="3"/>
  <c r="G93" i="3"/>
  <c r="J93" i="3"/>
  <c r="E93" i="3"/>
  <c r="F93" i="3"/>
  <c r="K93" i="3"/>
  <c r="I93" i="3"/>
  <c r="I69" i="3"/>
  <c r="G69" i="3"/>
  <c r="C69" i="3"/>
  <c r="H69" i="3"/>
  <c r="J69" i="3"/>
  <c r="F69" i="3"/>
  <c r="F57" i="3"/>
  <c r="I57" i="3"/>
  <c r="G57" i="3"/>
  <c r="K57" i="3"/>
  <c r="C57" i="3"/>
  <c r="K33" i="3"/>
  <c r="I33" i="3"/>
  <c r="F33" i="3"/>
  <c r="J33" i="3"/>
  <c r="E33" i="3"/>
  <c r="G33" i="3"/>
  <c r="H33" i="3"/>
  <c r="H9" i="3"/>
  <c r="I9" i="3"/>
  <c r="G9" i="3"/>
  <c r="J9" i="3"/>
  <c r="E9" i="3"/>
  <c r="C9" i="3"/>
  <c r="H57" i="3"/>
  <c r="G80" i="3"/>
  <c r="C80" i="3"/>
  <c r="J80" i="3"/>
  <c r="H80" i="3"/>
  <c r="K80" i="3"/>
  <c r="E80" i="3"/>
  <c r="G56" i="3"/>
  <c r="C56" i="3"/>
  <c r="I56" i="3"/>
  <c r="K56" i="3"/>
  <c r="F56" i="3"/>
  <c r="G32" i="3"/>
  <c r="C32" i="3"/>
  <c r="K32" i="3"/>
  <c r="F32" i="3"/>
  <c r="I32" i="3"/>
  <c r="E32" i="3"/>
  <c r="J32" i="3"/>
  <c r="H32" i="3"/>
  <c r="G8" i="3"/>
  <c r="C8" i="3"/>
  <c r="H8" i="3"/>
  <c r="F8" i="3"/>
  <c r="K8" i="3"/>
  <c r="J8" i="3"/>
  <c r="E8" i="3"/>
  <c r="F9" i="3"/>
  <c r="G21" i="3"/>
  <c r="F80" i="3"/>
  <c r="K9" i="3"/>
  <c r="E57" i="3"/>
  <c r="J57" i="3"/>
  <c r="H93" i="3"/>
  <c r="J56" i="3"/>
  <c r="K70" i="3"/>
  <c r="I21" i="3"/>
  <c r="H96" i="3"/>
  <c r="F96" i="3"/>
  <c r="I96" i="3"/>
  <c r="J96" i="3"/>
  <c r="G96" i="3"/>
  <c r="K96" i="3"/>
  <c r="E96" i="3"/>
  <c r="H84" i="3"/>
  <c r="F84" i="3"/>
  <c r="I84" i="3"/>
  <c r="H72" i="3"/>
  <c r="K72" i="3"/>
  <c r="I72" i="3"/>
  <c r="F72" i="3"/>
  <c r="G72" i="3"/>
  <c r="C72" i="3"/>
  <c r="H60" i="3"/>
  <c r="K60" i="3"/>
  <c r="F60" i="3"/>
  <c r="E60" i="3"/>
  <c r="G60" i="3"/>
  <c r="H48" i="3"/>
  <c r="K48" i="3"/>
  <c r="I48" i="3"/>
  <c r="J48" i="3"/>
  <c r="E48" i="3"/>
  <c r="G48" i="3"/>
  <c r="H36" i="3"/>
  <c r="E36" i="3"/>
  <c r="K36" i="3"/>
  <c r="C36" i="3"/>
  <c r="F36" i="3"/>
  <c r="I36" i="3"/>
  <c r="J36" i="3"/>
  <c r="H24" i="3"/>
  <c r="J24" i="3"/>
  <c r="E24" i="3"/>
  <c r="K24" i="3"/>
  <c r="C24" i="3"/>
  <c r="H12" i="3"/>
  <c r="K12" i="3"/>
  <c r="J12" i="3"/>
  <c r="E12" i="3"/>
  <c r="C12" i="3"/>
  <c r="F12" i="3"/>
  <c r="I12" i="3"/>
  <c r="G12" i="3"/>
  <c r="C48" i="3"/>
  <c r="E69" i="3"/>
  <c r="J70" i="3"/>
  <c r="I82" i="3"/>
  <c r="G82" i="3"/>
  <c r="C82" i="3"/>
  <c r="H82" i="3"/>
  <c r="K82" i="3"/>
  <c r="J82" i="3"/>
  <c r="K58" i="3"/>
  <c r="F58" i="3"/>
  <c r="I58" i="3"/>
  <c r="G58" i="3"/>
  <c r="C58" i="3"/>
  <c r="K46" i="3"/>
  <c r="I46" i="3"/>
  <c r="F46" i="3"/>
  <c r="J46" i="3"/>
  <c r="G46" i="3"/>
  <c r="E46" i="3"/>
  <c r="H46" i="3"/>
  <c r="H34" i="3"/>
  <c r="K34" i="3"/>
  <c r="F34" i="3"/>
  <c r="I34" i="3"/>
  <c r="J34" i="3"/>
  <c r="E34" i="3"/>
  <c r="G34" i="3"/>
  <c r="H22" i="3"/>
  <c r="K22" i="3"/>
  <c r="C22" i="3"/>
  <c r="F22" i="3"/>
  <c r="E10" i="3"/>
  <c r="H10" i="3"/>
  <c r="C10" i="3"/>
  <c r="I10" i="3"/>
  <c r="G10" i="3"/>
  <c r="J10" i="3"/>
  <c r="G70" i="3"/>
  <c r="C81" i="3"/>
  <c r="G81" i="3"/>
  <c r="J81" i="3"/>
  <c r="K81" i="3"/>
  <c r="E81" i="3"/>
  <c r="H81" i="3"/>
  <c r="K45" i="3"/>
  <c r="F45" i="3"/>
  <c r="I45" i="3"/>
  <c r="E45" i="3"/>
  <c r="G45" i="3"/>
  <c r="H45" i="3"/>
  <c r="H21" i="3"/>
  <c r="K21" i="3"/>
  <c r="F21" i="3"/>
  <c r="C45" i="3"/>
  <c r="G92" i="3"/>
  <c r="C92" i="3"/>
  <c r="J92" i="3"/>
  <c r="K92" i="3"/>
  <c r="I92" i="3"/>
  <c r="E92" i="3"/>
  <c r="F92" i="3"/>
  <c r="G68" i="3"/>
  <c r="C68" i="3"/>
  <c r="F68" i="3"/>
  <c r="I68" i="3"/>
  <c r="H68" i="3"/>
  <c r="J68" i="3"/>
  <c r="E68" i="3"/>
  <c r="G44" i="3"/>
  <c r="C44" i="3"/>
  <c r="F44" i="3"/>
  <c r="I44" i="3"/>
  <c r="H44" i="3"/>
  <c r="G20" i="3"/>
  <c r="C20" i="3"/>
  <c r="K20" i="3"/>
  <c r="F20" i="3"/>
  <c r="I20" i="3"/>
  <c r="F82" i="3"/>
  <c r="F10" i="3"/>
  <c r="G22" i="3"/>
  <c r="H56" i="3"/>
  <c r="I80" i="3"/>
  <c r="F81" i="3"/>
  <c r="K10" i="3"/>
  <c r="J58" i="3"/>
  <c r="H20" i="3"/>
  <c r="C21" i="3"/>
  <c r="E56" i="3"/>
  <c r="H92" i="3"/>
  <c r="I22" i="3"/>
  <c r="E70" i="3"/>
  <c r="E22" i="3"/>
  <c r="J21" i="3"/>
  <c r="K69" i="3"/>
  <c r="K95" i="3"/>
  <c r="I95" i="3"/>
  <c r="C95" i="3"/>
  <c r="G95" i="3"/>
  <c r="E95" i="3"/>
  <c r="F95" i="3"/>
  <c r="J95" i="3"/>
  <c r="H95" i="3"/>
  <c r="K83" i="3"/>
  <c r="F83" i="3"/>
  <c r="I83" i="3"/>
  <c r="H83" i="3"/>
  <c r="J83" i="3"/>
  <c r="G83" i="3"/>
  <c r="K71" i="3"/>
  <c r="F71" i="3"/>
  <c r="I71" i="3"/>
  <c r="C71" i="3"/>
  <c r="H71" i="3"/>
  <c r="K59" i="3"/>
  <c r="F59" i="3"/>
  <c r="I59" i="3"/>
  <c r="G59" i="3"/>
  <c r="C59" i="3"/>
  <c r="K47" i="3"/>
  <c r="H47" i="3"/>
  <c r="F47" i="3"/>
  <c r="G47" i="3"/>
  <c r="J47" i="3"/>
  <c r="E47" i="3"/>
  <c r="K35" i="3"/>
  <c r="H35" i="3"/>
  <c r="F35" i="3"/>
  <c r="I35" i="3"/>
  <c r="E35" i="3"/>
  <c r="J35" i="3"/>
  <c r="K23" i="3"/>
  <c r="E23" i="3"/>
  <c r="H23" i="3"/>
  <c r="C23" i="3"/>
  <c r="K11" i="3"/>
  <c r="J11" i="3"/>
  <c r="E11" i="3"/>
  <c r="H11" i="3"/>
  <c r="F11" i="3"/>
  <c r="I11" i="3"/>
  <c r="C11" i="3"/>
  <c r="G11" i="3"/>
  <c r="C47" i="3"/>
  <c r="C33" i="3"/>
  <c r="E84" i="3"/>
  <c r="E44" i="3"/>
  <c r="E20" i="3"/>
  <c r="G71" i="3"/>
  <c r="H59" i="3"/>
  <c r="J45" i="3"/>
  <c r="K99" i="3"/>
  <c r="F99" i="3"/>
  <c r="H75" i="3"/>
  <c r="K75" i="3"/>
  <c r="J63" i="3"/>
  <c r="E63" i="3"/>
  <c r="H63" i="3"/>
  <c r="G39" i="3"/>
  <c r="J39" i="3"/>
  <c r="E39" i="3"/>
  <c r="C15" i="3"/>
  <c r="G15" i="3"/>
  <c r="K98" i="3"/>
  <c r="I98" i="3"/>
  <c r="F98" i="3"/>
  <c r="K86" i="3"/>
  <c r="F86" i="3"/>
  <c r="H74" i="3"/>
  <c r="K74" i="3"/>
  <c r="H62" i="3"/>
  <c r="K62" i="3"/>
  <c r="J38" i="3"/>
  <c r="E38" i="3"/>
  <c r="H38" i="3"/>
  <c r="G26" i="3"/>
  <c r="J26" i="3"/>
  <c r="E26" i="3"/>
  <c r="C14" i="3"/>
  <c r="G14" i="3"/>
  <c r="J14" i="3"/>
  <c r="E14" i="3"/>
  <c r="C86" i="3"/>
  <c r="E62" i="3"/>
  <c r="J62" i="3"/>
  <c r="K38" i="3"/>
  <c r="H87" i="3"/>
  <c r="K87" i="3"/>
  <c r="J51" i="3"/>
  <c r="E51" i="3"/>
  <c r="H51" i="3"/>
  <c r="C27" i="3"/>
  <c r="G27" i="3"/>
  <c r="J27" i="3"/>
  <c r="E3" i="3"/>
  <c r="G3" i="3"/>
  <c r="C3" i="3"/>
  <c r="C51" i="3"/>
  <c r="E15" i="3"/>
  <c r="K39" i="3"/>
  <c r="J50" i="3"/>
  <c r="E50" i="3"/>
  <c r="H50" i="3"/>
  <c r="E97" i="3"/>
  <c r="F97" i="3"/>
  <c r="I97" i="3"/>
  <c r="E85" i="3"/>
  <c r="K85" i="3"/>
  <c r="F85" i="3"/>
  <c r="I85" i="3"/>
  <c r="E73" i="3"/>
  <c r="K73" i="3"/>
  <c r="F73" i="3"/>
  <c r="E61" i="3"/>
  <c r="H61" i="3"/>
  <c r="K61" i="3"/>
  <c r="E49" i="3"/>
  <c r="H49" i="3"/>
  <c r="K49" i="3"/>
  <c r="E37" i="3"/>
  <c r="J37" i="3"/>
  <c r="H37" i="3"/>
  <c r="E25" i="3"/>
  <c r="J25" i="3"/>
  <c r="H25" i="3"/>
  <c r="E13" i="3"/>
  <c r="G13" i="3"/>
  <c r="J13" i="3"/>
  <c r="C85" i="3"/>
  <c r="C49" i="3"/>
  <c r="E75" i="3"/>
  <c r="F50" i="3"/>
  <c r="G25" i="3"/>
  <c r="H27" i="3"/>
  <c r="I87" i="3"/>
  <c r="I26" i="3"/>
  <c r="J75" i="3"/>
  <c r="J61" i="3"/>
  <c r="K37" i="3"/>
  <c r="K15" i="3"/>
  <c r="C55" i="3"/>
  <c r="E91" i="3"/>
  <c r="F7" i="3"/>
  <c r="I19" i="3"/>
  <c r="K7" i="3"/>
  <c r="G67" i="3"/>
  <c r="C67" i="3"/>
  <c r="E2" i="3"/>
  <c r="E90" i="3"/>
  <c r="F19" i="3"/>
  <c r="F6" i="3"/>
  <c r="G79" i="3"/>
  <c r="G66" i="3"/>
  <c r="I31" i="3"/>
  <c r="I18" i="3"/>
  <c r="C79" i="3"/>
  <c r="E89" i="3"/>
  <c r="F31" i="3"/>
  <c r="F5" i="3"/>
  <c r="G91" i="3"/>
  <c r="I43" i="3"/>
  <c r="K19" i="3"/>
  <c r="F100" i="3"/>
  <c r="F88" i="3"/>
  <c r="F76" i="3"/>
  <c r="F64" i="3"/>
  <c r="F52" i="3"/>
  <c r="F40" i="3"/>
  <c r="F28" i="3"/>
  <c r="F16" i="3"/>
  <c r="F4" i="3"/>
</calcChain>
</file>

<file path=xl/sharedStrings.xml><?xml version="1.0" encoding="utf-8"?>
<sst xmlns="http://schemas.openxmlformats.org/spreadsheetml/2006/main" count="1790" uniqueCount="503">
  <si>
    <t>Slot ID</t>
  </si>
  <si>
    <t>Day</t>
  </si>
  <si>
    <t>Time Slot</t>
  </si>
  <si>
    <t>Department</t>
  </si>
  <si>
    <t>Subject Code</t>
  </si>
  <si>
    <t>Subject Name</t>
  </si>
  <si>
    <t>Faculty ID</t>
  </si>
  <si>
    <t>Semester</t>
  </si>
  <si>
    <t>Section</t>
  </si>
  <si>
    <t>Duration (hrs)</t>
  </si>
  <si>
    <t>Is Lab</t>
  </si>
  <si>
    <t>Conflict Flag</t>
  </si>
  <si>
    <t>TS0001</t>
  </si>
  <si>
    <t>Tuesday</t>
  </si>
  <si>
    <t>11:00-12:00</t>
  </si>
  <si>
    <t>ECE</t>
  </si>
  <si>
    <t>EC105</t>
  </si>
  <si>
    <t>Algorithms</t>
  </si>
  <si>
    <t>FAC1048</t>
  </si>
  <si>
    <t>A</t>
  </si>
  <si>
    <t>No</t>
  </si>
  <si>
    <t>Yes</t>
  </si>
  <si>
    <t>TS0002</t>
  </si>
  <si>
    <t>Friday</t>
  </si>
  <si>
    <t>CE</t>
  </si>
  <si>
    <t>CE123</t>
  </si>
  <si>
    <t>Distributed Systems</t>
  </si>
  <si>
    <t>FAC1042</t>
  </si>
  <si>
    <t>D</t>
  </si>
  <si>
    <t>TS0003</t>
  </si>
  <si>
    <t>Wednesday</t>
  </si>
  <si>
    <t>10:00-11:00</t>
  </si>
  <si>
    <t>ME</t>
  </si>
  <si>
    <t>ME107</t>
  </si>
  <si>
    <t>C++</t>
  </si>
  <si>
    <t>FAC1049</t>
  </si>
  <si>
    <t>TS0004</t>
  </si>
  <si>
    <t>9:00-10:00</t>
  </si>
  <si>
    <t>EEE</t>
  </si>
  <si>
    <t>EE130</t>
  </si>
  <si>
    <t>DBMS</t>
  </si>
  <si>
    <t>FAC1025</t>
  </si>
  <si>
    <t>TS0005</t>
  </si>
  <si>
    <t>Monday</t>
  </si>
  <si>
    <t>2:00-3:00</t>
  </si>
  <si>
    <t>EE109</t>
  </si>
  <si>
    <t>Machine Learning</t>
  </si>
  <si>
    <t>FAC1030</t>
  </si>
  <si>
    <t>C</t>
  </si>
  <si>
    <t>TS0006</t>
  </si>
  <si>
    <t>EC106</t>
  </si>
  <si>
    <t>Digital Signal Processing</t>
  </si>
  <si>
    <t>TS0007</t>
  </si>
  <si>
    <t>CSE</t>
  </si>
  <si>
    <t>CS107</t>
  </si>
  <si>
    <t>Linear Algebra</t>
  </si>
  <si>
    <t>FAC1037</t>
  </si>
  <si>
    <t>TS0008</t>
  </si>
  <si>
    <t>Saturday</t>
  </si>
  <si>
    <t>ME129</t>
  </si>
  <si>
    <t>Thermodynamics</t>
  </si>
  <si>
    <t>FAC1038</t>
  </si>
  <si>
    <t>TS0009</t>
  </si>
  <si>
    <t>EC120</t>
  </si>
  <si>
    <t>Cloud Computing</t>
  </si>
  <si>
    <t>FAC1005</t>
  </si>
  <si>
    <t>TS0010</t>
  </si>
  <si>
    <t>EE106</t>
  </si>
  <si>
    <t>Engineering Mathematics</t>
  </si>
  <si>
    <t>TS0011</t>
  </si>
  <si>
    <t>4:00-5:00</t>
  </si>
  <si>
    <t>ME130</t>
  </si>
  <si>
    <t>Communication Skills</t>
  </si>
  <si>
    <t>FAC1001</t>
  </si>
  <si>
    <t>TS0012</t>
  </si>
  <si>
    <t>EE103</t>
  </si>
  <si>
    <t>FAC1047</t>
  </si>
  <si>
    <t>B</t>
  </si>
  <si>
    <t>TS0013</t>
  </si>
  <si>
    <t>EE125</t>
  </si>
  <si>
    <t>IoT</t>
  </si>
  <si>
    <t>TS0014</t>
  </si>
  <si>
    <t>8:00-9:00</t>
  </si>
  <si>
    <t>CE119</t>
  </si>
  <si>
    <t>Embedded Systems</t>
  </si>
  <si>
    <t>FAC1036</t>
  </si>
  <si>
    <t>TS0015</t>
  </si>
  <si>
    <t>EC108</t>
  </si>
  <si>
    <t>TS0016</t>
  </si>
  <si>
    <t>CE112</t>
  </si>
  <si>
    <t>AI</t>
  </si>
  <si>
    <t>FAC1028</t>
  </si>
  <si>
    <t>TS0017</t>
  </si>
  <si>
    <t>IT</t>
  </si>
  <si>
    <t>IT118</t>
  </si>
  <si>
    <t>FAC1029</t>
  </si>
  <si>
    <t>TS0018</t>
  </si>
  <si>
    <t>EC127</t>
  </si>
  <si>
    <t>Data Mining</t>
  </si>
  <si>
    <t>TS0019</t>
  </si>
  <si>
    <t>CE101</t>
  </si>
  <si>
    <t>Python Programming</t>
  </si>
  <si>
    <t>TS0020</t>
  </si>
  <si>
    <t>CE102</t>
  </si>
  <si>
    <t>Manufacturing</t>
  </si>
  <si>
    <t>TS0021</t>
  </si>
  <si>
    <t>EC122</t>
  </si>
  <si>
    <t>Signals &amp; Systems</t>
  </si>
  <si>
    <t>FAC1016</t>
  </si>
  <si>
    <t>TS0022</t>
  </si>
  <si>
    <t>1:00-2:00</t>
  </si>
  <si>
    <t>IT108</t>
  </si>
  <si>
    <t>Fluid Mechanics</t>
  </si>
  <si>
    <t>FAC1017</t>
  </si>
  <si>
    <t>TS0023</t>
  </si>
  <si>
    <t>Cybersecurity</t>
  </si>
  <si>
    <t>FAC1033</t>
  </si>
  <si>
    <t>TS0024</t>
  </si>
  <si>
    <t>12:00-1:00</t>
  </si>
  <si>
    <t>EE120</t>
  </si>
  <si>
    <t>TS0025</t>
  </si>
  <si>
    <t>Power Systems</t>
  </si>
  <si>
    <t>FAC1014</t>
  </si>
  <si>
    <t>TS0026</t>
  </si>
  <si>
    <t>EC111</t>
  </si>
  <si>
    <t>FAC1050</t>
  </si>
  <si>
    <t>TS0027</t>
  </si>
  <si>
    <t>TS0028</t>
  </si>
  <si>
    <t>CE129</t>
  </si>
  <si>
    <t>FAC1027</t>
  </si>
  <si>
    <t>TS0029</t>
  </si>
  <si>
    <t>ME109</t>
  </si>
  <si>
    <t>FAC1011</t>
  </si>
  <si>
    <t>TS0030</t>
  </si>
  <si>
    <t>IT122</t>
  </si>
  <si>
    <t>CAD/CAM</t>
  </si>
  <si>
    <t>FAC1013</t>
  </si>
  <si>
    <t>TS0031</t>
  </si>
  <si>
    <t>MCA</t>
  </si>
  <si>
    <t>MC129</t>
  </si>
  <si>
    <t>Blockchain</t>
  </si>
  <si>
    <t>TS0032</t>
  </si>
  <si>
    <t>Thursday</t>
  </si>
  <si>
    <t>MC109</t>
  </si>
  <si>
    <t>FAC1003</t>
  </si>
  <si>
    <t>TS0033</t>
  </si>
  <si>
    <t>IT124</t>
  </si>
  <si>
    <t>Robotics</t>
  </si>
  <si>
    <t>FAC1020</t>
  </si>
  <si>
    <t>TS0034</t>
  </si>
  <si>
    <t>CE120</t>
  </si>
  <si>
    <t>Java Programming</t>
  </si>
  <si>
    <t>TS0035</t>
  </si>
  <si>
    <t>IT117</t>
  </si>
  <si>
    <t>FAC1031</t>
  </si>
  <si>
    <t>TS0036</t>
  </si>
  <si>
    <t>CE108</t>
  </si>
  <si>
    <t>VLSI Design</t>
  </si>
  <si>
    <t>TS0037</t>
  </si>
  <si>
    <t>TS0038</t>
  </si>
  <si>
    <t>3:00-4:00</t>
  </si>
  <si>
    <t>CE122</t>
  </si>
  <si>
    <t>Software Engineering</t>
  </si>
  <si>
    <t>FAC1034</t>
  </si>
  <si>
    <t>TS0039</t>
  </si>
  <si>
    <t>MBA</t>
  </si>
  <si>
    <t>MB125</t>
  </si>
  <si>
    <t>TS0040</t>
  </si>
  <si>
    <t>EE129</t>
  </si>
  <si>
    <t>FAC1035</t>
  </si>
  <si>
    <t>TS0041</t>
  </si>
  <si>
    <t>EC115</t>
  </si>
  <si>
    <t>TS0042</t>
  </si>
  <si>
    <t>CS118</t>
  </si>
  <si>
    <t>Statistics</t>
  </si>
  <si>
    <t>TS0043</t>
  </si>
  <si>
    <t>CS124</t>
  </si>
  <si>
    <t>Technical Writing</t>
  </si>
  <si>
    <t>TS0044</t>
  </si>
  <si>
    <t>ME113</t>
  </si>
  <si>
    <t>FAC1021</t>
  </si>
  <si>
    <t>TS0045</t>
  </si>
  <si>
    <t>MC124</t>
  </si>
  <si>
    <t>TS0046</t>
  </si>
  <si>
    <t>FAC1009</t>
  </si>
  <si>
    <t>TS0047</t>
  </si>
  <si>
    <t>ME104</t>
  </si>
  <si>
    <t>TS0048</t>
  </si>
  <si>
    <t>CE126</t>
  </si>
  <si>
    <t>TS0049</t>
  </si>
  <si>
    <t>MC121</t>
  </si>
  <si>
    <t>Compiler Design</t>
  </si>
  <si>
    <t>TS0050</t>
  </si>
  <si>
    <t>MC127</t>
  </si>
  <si>
    <t>Analog Circuits</t>
  </si>
  <si>
    <t>FAC1006</t>
  </si>
  <si>
    <t>TS0051</t>
  </si>
  <si>
    <t>MB112</t>
  </si>
  <si>
    <t>TS0052</t>
  </si>
  <si>
    <t>TS0053</t>
  </si>
  <si>
    <t>CE117</t>
  </si>
  <si>
    <t>FAC1023</t>
  </si>
  <si>
    <t>TS0054</t>
  </si>
  <si>
    <t>CE124</t>
  </si>
  <si>
    <t>TS0055</t>
  </si>
  <si>
    <t>TS0056</t>
  </si>
  <si>
    <t>MB116</t>
  </si>
  <si>
    <t>TS0057</t>
  </si>
  <si>
    <t>EC119</t>
  </si>
  <si>
    <t>Computer Networks</t>
  </si>
  <si>
    <t>FAC1041</t>
  </si>
  <si>
    <t>TS0058</t>
  </si>
  <si>
    <t>MC115</t>
  </si>
  <si>
    <t>TS0059</t>
  </si>
  <si>
    <t>CE106</t>
  </si>
  <si>
    <t>TS0060</t>
  </si>
  <si>
    <t>EE123</t>
  </si>
  <si>
    <t>TS0061</t>
  </si>
  <si>
    <t>TS0062</t>
  </si>
  <si>
    <t>TS0063</t>
  </si>
  <si>
    <t>EE117</t>
  </si>
  <si>
    <t>Control Systems</t>
  </si>
  <si>
    <t>TS0064</t>
  </si>
  <si>
    <t>MB122</t>
  </si>
  <si>
    <t>FAC1007</t>
  </si>
  <si>
    <t>TS0065</t>
  </si>
  <si>
    <t>MB104</t>
  </si>
  <si>
    <t>TS0066</t>
  </si>
  <si>
    <t>MB118</t>
  </si>
  <si>
    <t>TS0067</t>
  </si>
  <si>
    <t>ME103</t>
  </si>
  <si>
    <t>FAC1015</t>
  </si>
  <si>
    <t>TS0068</t>
  </si>
  <si>
    <t>EE115</t>
  </si>
  <si>
    <t>TS0069</t>
  </si>
  <si>
    <t>TS0070</t>
  </si>
  <si>
    <t>MC119</t>
  </si>
  <si>
    <t>TS0071</t>
  </si>
  <si>
    <t>ME119</t>
  </si>
  <si>
    <t>FAC1022</t>
  </si>
  <si>
    <t>TS0072</t>
  </si>
  <si>
    <t>MC111</t>
  </si>
  <si>
    <t>FAC1040</t>
  </si>
  <si>
    <t>TS0073</t>
  </si>
  <si>
    <t>CS108</t>
  </si>
  <si>
    <t>TS0074</t>
  </si>
  <si>
    <t>EE110</t>
  </si>
  <si>
    <t>TS0075</t>
  </si>
  <si>
    <t>ME120</t>
  </si>
  <si>
    <t>FAC1044</t>
  </si>
  <si>
    <t>TS0076</t>
  </si>
  <si>
    <t>TS0077</t>
  </si>
  <si>
    <t>EE128</t>
  </si>
  <si>
    <t>TS0078</t>
  </si>
  <si>
    <t>MC130</t>
  </si>
  <si>
    <t>Machine Design</t>
  </si>
  <si>
    <t>FAC1039</t>
  </si>
  <si>
    <t>TS0079</t>
  </si>
  <si>
    <t>Web Technology</t>
  </si>
  <si>
    <t>TS0080</t>
  </si>
  <si>
    <t>FAC1024</t>
  </si>
  <si>
    <t>TS0081</t>
  </si>
  <si>
    <t>IT125</t>
  </si>
  <si>
    <t>TS0082</t>
  </si>
  <si>
    <t>MB127</t>
  </si>
  <si>
    <t>TS0083</t>
  </si>
  <si>
    <t>EC104</t>
  </si>
  <si>
    <t>TS0084</t>
  </si>
  <si>
    <t>ME114</t>
  </si>
  <si>
    <t>TS0085</t>
  </si>
  <si>
    <t>IT128</t>
  </si>
  <si>
    <t>Microprocessors</t>
  </si>
  <si>
    <t>TS0086</t>
  </si>
  <si>
    <t>EC121</t>
  </si>
  <si>
    <t>TS0087</t>
  </si>
  <si>
    <t>CE127</t>
  </si>
  <si>
    <t>TS0088</t>
  </si>
  <si>
    <t>EE105</t>
  </si>
  <si>
    <t>TS0089</t>
  </si>
  <si>
    <t>TS0090</t>
  </si>
  <si>
    <t>FAC1026</t>
  </si>
  <si>
    <t>TS0091</t>
  </si>
  <si>
    <t>IT109</t>
  </si>
  <si>
    <t>TS0092</t>
  </si>
  <si>
    <t>EC129</t>
  </si>
  <si>
    <t>TS0093</t>
  </si>
  <si>
    <t>IT112</t>
  </si>
  <si>
    <t>FAC1010</t>
  </si>
  <si>
    <t>TS0094</t>
  </si>
  <si>
    <t>TS0095</t>
  </si>
  <si>
    <t>EE107</t>
  </si>
  <si>
    <t>TS0096</t>
  </si>
  <si>
    <t>TS0097</t>
  </si>
  <si>
    <t>TS0098</t>
  </si>
  <si>
    <t>MC112</t>
  </si>
  <si>
    <t>TS0099</t>
  </si>
  <si>
    <t>EE114</t>
  </si>
  <si>
    <t>FAC1018</t>
  </si>
  <si>
    <t>TS0100</t>
  </si>
  <si>
    <t>EE101</t>
  </si>
  <si>
    <t>Faculty Name</t>
  </si>
  <si>
    <t>Designation</t>
  </si>
  <si>
    <t>Experience (yrs)</t>
  </si>
  <si>
    <t>Subjects Assigned</t>
  </si>
  <si>
    <t>Theory Hours/Week</t>
  </si>
  <si>
    <t>Lab Hours/Week</t>
  </si>
  <si>
    <t>Total Contact Hours</t>
  </si>
  <si>
    <t>Max Allowed Hours</t>
  </si>
  <si>
    <t>Workload Status</t>
  </si>
  <si>
    <t>Extra Duties</t>
  </si>
  <si>
    <t>Overload Flag</t>
  </si>
  <si>
    <t>Academic Year</t>
  </si>
  <si>
    <t>Remarks</t>
  </si>
  <si>
    <t>Sunita Sharma</t>
  </si>
  <si>
    <t>Senior Lecturer</t>
  </si>
  <si>
    <t>Exam Cell</t>
  </si>
  <si>
    <t>Even</t>
  </si>
  <si>
    <t>2023-24</t>
  </si>
  <si>
    <t>FAC1002</t>
  </si>
  <si>
    <t>Nisha Sharma</t>
  </si>
  <si>
    <t>Assistant Professor</t>
  </si>
  <si>
    <t>Ravi Singh</t>
  </si>
  <si>
    <t>Professor</t>
  </si>
  <si>
    <t>None</t>
  </si>
  <si>
    <t>Odd</t>
  </si>
  <si>
    <t>2024-25</t>
  </si>
  <si>
    <t>FAC1004</t>
  </si>
  <si>
    <t>Uma Patel</t>
  </si>
  <si>
    <t>Research Cell</t>
  </si>
  <si>
    <t>2025-26</t>
  </si>
  <si>
    <t>Meena Verma</t>
  </si>
  <si>
    <t>Library Committee</t>
  </si>
  <si>
    <t>Rekha Agarwal</t>
  </si>
  <si>
    <t>Mohan Verma</t>
  </si>
  <si>
    <t>Sports Cell</t>
  </si>
  <si>
    <t>FAC1008</t>
  </si>
  <si>
    <t>Arun Pandey</t>
  </si>
  <si>
    <t>Time Table Committee</t>
  </si>
  <si>
    <t>Ravi Chaudhary</t>
  </si>
  <si>
    <t>Lecturer</t>
  </si>
  <si>
    <t>Sanjay Mishra</t>
  </si>
  <si>
    <t>Ravi Verma</t>
  </si>
  <si>
    <t>FAC1012</t>
  </si>
  <si>
    <t>Vikram Tiwari</t>
  </si>
  <si>
    <t>Vikram Singh</t>
  </si>
  <si>
    <t>Anita Singh</t>
  </si>
  <si>
    <t>Meena Yadav</t>
  </si>
  <si>
    <t>Mohan Yadav</t>
  </si>
  <si>
    <t>Associate Professor</t>
  </si>
  <si>
    <t>Kavya Verma</t>
  </si>
  <si>
    <t>Sanjay Yadav</t>
  </si>
  <si>
    <t>FAC1019</t>
  </si>
  <si>
    <t>Kavya Agarwal</t>
  </si>
  <si>
    <t>Lata Chaudhary</t>
  </si>
  <si>
    <t>Swati Yadav</t>
  </si>
  <si>
    <t>Anita Tiwari</t>
  </si>
  <si>
    <t>Pooja Dubey</t>
  </si>
  <si>
    <t>Dinesh Singh</t>
  </si>
  <si>
    <t>Suresh Agarwal</t>
  </si>
  <si>
    <t>Dinesh Patel</t>
  </si>
  <si>
    <t>Mohan Kumar</t>
  </si>
  <si>
    <t>Kavya Joshi</t>
  </si>
  <si>
    <t>Rajesh Tiwari</t>
  </si>
  <si>
    <t>Meena Dubey</t>
  </si>
  <si>
    <t>Prakash Singh</t>
  </si>
  <si>
    <t>FAC1032</t>
  </si>
  <si>
    <t>Deepak Dubey</t>
  </si>
  <si>
    <t>Rajesh Dubey</t>
  </si>
  <si>
    <t>Suresh Dubey</t>
  </si>
  <si>
    <t>Kavya Mishra</t>
  </si>
  <si>
    <t>Vikram Agarwal</t>
  </si>
  <si>
    <t>Pooja Yadav</t>
  </si>
  <si>
    <t>Prakash Pandey</t>
  </si>
  <si>
    <t>Dinesh Gupta</t>
  </si>
  <si>
    <t>Uma Srivastava</t>
  </si>
  <si>
    <t>Arun Gupta</t>
  </si>
  <si>
    <t>FAC1043</t>
  </si>
  <si>
    <t>Suresh Pandey</t>
  </si>
  <si>
    <t>FAC1045</t>
  </si>
  <si>
    <t>Nisha Singh</t>
  </si>
  <si>
    <t>FAC1046</t>
  </si>
  <si>
    <t>Rajesh Mishra</t>
  </si>
  <si>
    <t>Ravi Agarwal</t>
  </si>
  <si>
    <t>Geeta Srivastava</t>
  </si>
  <si>
    <t>Uma Sharma</t>
  </si>
  <si>
    <t>FAC1051</t>
  </si>
  <si>
    <t>Suresh Sharma</t>
  </si>
  <si>
    <t>FAC1052</t>
  </si>
  <si>
    <t>Harish Singh</t>
  </si>
  <si>
    <t>FAC1053</t>
  </si>
  <si>
    <t>Rekha Dubey</t>
  </si>
  <si>
    <t>FAC1054</t>
  </si>
  <si>
    <t>Harish Chaudhary</t>
  </si>
  <si>
    <t>FAC1055</t>
  </si>
  <si>
    <t>Vikram Kumar</t>
  </si>
  <si>
    <t>FAC1056</t>
  </si>
  <si>
    <t>FAC1057</t>
  </si>
  <si>
    <t>Sunita Mishra</t>
  </si>
  <si>
    <t>FAC1058</t>
  </si>
  <si>
    <t>Kavya Patel</t>
  </si>
  <si>
    <t>FAC1059</t>
  </si>
  <si>
    <t>Priya Srivastava</t>
  </si>
  <si>
    <t>FAC1060</t>
  </si>
  <si>
    <t>Dinesh Yadav</t>
  </si>
  <si>
    <t>FAC1061</t>
  </si>
  <si>
    <t>FAC1062</t>
  </si>
  <si>
    <t>Sanjay Tiwari</t>
  </si>
  <si>
    <t>FAC1063</t>
  </si>
  <si>
    <t>Ravi Kumar</t>
  </si>
  <si>
    <t>FAC1064</t>
  </si>
  <si>
    <t>Harish Verma</t>
  </si>
  <si>
    <t>FAC1065</t>
  </si>
  <si>
    <t>Lata Dubey</t>
  </si>
  <si>
    <t>FAC1066</t>
  </si>
  <si>
    <t>Lata Agarwal</t>
  </si>
  <si>
    <t>FAC1067</t>
  </si>
  <si>
    <t>Rajesh Agarwal</t>
  </si>
  <si>
    <t>FAC1068</t>
  </si>
  <si>
    <t>FAC1069</t>
  </si>
  <si>
    <t>FAC1070</t>
  </si>
  <si>
    <t>Sanjay Verma</t>
  </si>
  <si>
    <t>FAC1071</t>
  </si>
  <si>
    <t>Rekha Chaudhary</t>
  </si>
  <si>
    <t>FAC1072</t>
  </si>
  <si>
    <t>Priya Dubey</t>
  </si>
  <si>
    <t>FAC1073</t>
  </si>
  <si>
    <t>Meena Chaudhary</t>
  </si>
  <si>
    <t>FAC1074</t>
  </si>
  <si>
    <t>FAC1075</t>
  </si>
  <si>
    <t>Dinesh Tiwari</t>
  </si>
  <si>
    <t>FAC1076</t>
  </si>
  <si>
    <t>FAC1077</t>
  </si>
  <si>
    <t>Nisha Yadav</t>
  </si>
  <si>
    <t>FAC1078</t>
  </si>
  <si>
    <t>Priya Kumar</t>
  </si>
  <si>
    <t>FAC1079</t>
  </si>
  <si>
    <t>FAC1080</t>
  </si>
  <si>
    <t>FAC1081</t>
  </si>
  <si>
    <t>FAC1082</t>
  </si>
  <si>
    <t>Kavya Singh</t>
  </si>
  <si>
    <t>FAC1083</t>
  </si>
  <si>
    <t>Arun Singh</t>
  </si>
  <si>
    <t>FAC1084</t>
  </si>
  <si>
    <t>Amit Mishra</t>
  </si>
  <si>
    <t>FAC1085</t>
  </si>
  <si>
    <t>Rekha Joshi</t>
  </si>
  <si>
    <t>FAC1086</t>
  </si>
  <si>
    <t>Anita Verma</t>
  </si>
  <si>
    <t>FAC1087</t>
  </si>
  <si>
    <t>Sanjay Joshi</t>
  </si>
  <si>
    <t>FAC1088</t>
  </si>
  <si>
    <t>Lata Joshi</t>
  </si>
  <si>
    <t>FAC1089</t>
  </si>
  <si>
    <t>FAC1090</t>
  </si>
  <si>
    <t>Amit Gupta</t>
  </si>
  <si>
    <t>FAC1091</t>
  </si>
  <si>
    <t>FAC1092</t>
  </si>
  <si>
    <t>Ravi Sharma</t>
  </si>
  <si>
    <t>FAC1093</t>
  </si>
  <si>
    <t>FAC1094</t>
  </si>
  <si>
    <t>Amit Kumar</t>
  </si>
  <si>
    <t>FAC1095</t>
  </si>
  <si>
    <t>FAC1096</t>
  </si>
  <si>
    <t>Prakash Yadav</t>
  </si>
  <si>
    <t>FAC1097</t>
  </si>
  <si>
    <t>Nisha Kumar</t>
  </si>
  <si>
    <t>FAC1098</t>
  </si>
  <si>
    <t>Kavya Sharma</t>
  </si>
  <si>
    <t>FAC1099</t>
  </si>
  <si>
    <t>Geeta Patel</t>
  </si>
  <si>
    <t>FAC1100</t>
  </si>
  <si>
    <t>Pooja Verma</t>
  </si>
  <si>
    <t>Row Labels</t>
  </si>
  <si>
    <t>(blank)</t>
  </si>
  <si>
    <t>Grand Total</t>
  </si>
  <si>
    <t>Sum of Duration (hrs)</t>
  </si>
  <si>
    <t>(All)</t>
  </si>
  <si>
    <t>Sum of Total Contact Hours</t>
  </si>
  <si>
    <t xml:space="preserve"> Dashboard for Timetable &amp; Faculty</t>
  </si>
  <si>
    <t>Links for navigation to all sheets in this workbook</t>
  </si>
  <si>
    <t>1. Raw data of Timetable Schedule</t>
  </si>
  <si>
    <t>2. Raw data of Faculty Workload</t>
  </si>
  <si>
    <t>3. Clean data of Timetable Schedule</t>
  </si>
  <si>
    <t>4. Clean data of Faculty Workload</t>
  </si>
  <si>
    <t>5. Timetable Pivot Table</t>
  </si>
  <si>
    <t>6. Faculty Pivot Table</t>
  </si>
  <si>
    <t>7. Dashboard</t>
  </si>
  <si>
    <t>Dept.</t>
  </si>
  <si>
    <t>Common Problems</t>
  </si>
  <si>
    <t>Excel Functions</t>
  </si>
  <si>
    <t>Repeated rows inflate totals in pivot tables</t>
  </si>
  <si>
    <t>Remove Duplicates</t>
  </si>
  <si>
    <t>Blanks cause formula errors</t>
  </si>
  <si>
    <t>IF, COUNTBLANK</t>
  </si>
  <si>
    <t>Techniques</t>
  </si>
  <si>
    <t>1. Remove Duplicates</t>
  </si>
  <si>
    <t>2. Handle Missing values</t>
  </si>
  <si>
    <t>Data Cleaning Process</t>
  </si>
  <si>
    <t>8. Data Cleaning</t>
  </si>
  <si>
    <t>Timetable Pivot</t>
  </si>
  <si>
    <t>Faculty Pivot</t>
  </si>
  <si>
    <t>management can be looked upon.</t>
  </si>
  <si>
    <r>
      <t>Conclusion</t>
    </r>
    <r>
      <rPr>
        <b/>
        <sz val="24"/>
        <color rgb="FF1F4E78"/>
        <rFont val="Calibri"/>
        <family val="2"/>
        <scheme val="minor"/>
      </rPr>
      <t xml:space="preserve">: </t>
    </r>
    <r>
      <rPr>
        <sz val="24"/>
        <color rgb="FF1F4E78"/>
        <rFont val="Calibri"/>
        <family val="2"/>
        <scheme val="minor"/>
      </rPr>
      <t xml:space="preserve">Using this dashboard, the overworked faculties can be identified and their workload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</si>
</sst>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1"/>
      <color rgb="FFFFFFFF"/>
      <name val="Arial"/>
    </font>
    <font>
      <sz val="10"/>
      <name val="Arial"/>
    </font>
    <font>
      <sz val="8"/>
      <name val="Calibri"/>
      <family val="2"/>
      <scheme val="minor"/>
    </font>
    <font>
      <u/>
      <sz val="11"/>
      <color theme="10"/>
      <name val="Calibri"/>
      <family val="2"/>
      <scheme val="minor"/>
    </font>
    <font>
      <sz val="48"/>
      <color theme="4" tint="0.39997558519241921"/>
      <name val="Calibri"/>
      <family val="2"/>
      <scheme val="minor"/>
    </font>
    <font>
      <u/>
      <sz val="28"/>
      <color theme="10"/>
      <name val="Calibri"/>
      <family val="2"/>
      <scheme val="minor"/>
    </font>
    <font>
      <sz val="11"/>
      <color theme="4" tint="-0.499984740745262"/>
      <name val="Calibri"/>
      <family val="2"/>
      <scheme val="minor"/>
    </font>
    <font>
      <u/>
      <sz val="36"/>
      <color theme="5" tint="0.79998168889431442"/>
      <name val="Calibri"/>
      <family val="2"/>
      <scheme val="minor"/>
    </font>
    <font>
      <u/>
      <sz val="28"/>
      <color theme="4" tint="-0.249977111117893"/>
      <name val="Calibri"/>
      <family val="2"/>
      <scheme val="minor"/>
    </font>
    <font>
      <sz val="11"/>
      <color rgb="FF000000"/>
      <name val="Calibri"/>
      <family val="2"/>
    </font>
    <font>
      <sz val="11"/>
      <color theme="0"/>
      <name val="Calibri"/>
      <family val="2"/>
      <scheme val="minor"/>
    </font>
    <font>
      <sz val="22"/>
      <color rgb="FFFFFF00"/>
      <name val="Calibri"/>
      <family val="2"/>
      <scheme val="minor"/>
    </font>
    <font>
      <sz val="24"/>
      <color theme="0"/>
      <name val="Calibri"/>
      <family val="2"/>
      <scheme val="minor"/>
    </font>
    <font>
      <sz val="36"/>
      <color theme="0"/>
      <name val="Calibri"/>
      <family val="2"/>
      <scheme val="minor"/>
    </font>
    <font>
      <sz val="24"/>
      <color theme="4" tint="-0.499984740745262"/>
      <name val="Calibri"/>
      <family val="2"/>
      <scheme val="minor"/>
    </font>
    <font>
      <b/>
      <u/>
      <sz val="24"/>
      <color rgb="FF1F4E78"/>
      <name val="Calibri"/>
      <family val="2"/>
      <scheme val="minor"/>
    </font>
    <font>
      <b/>
      <sz val="24"/>
      <color rgb="FF1F4E78"/>
      <name val="Calibri"/>
      <family val="2"/>
      <scheme val="minor"/>
    </font>
    <font>
      <sz val="24"/>
      <color rgb="FF1F4E78"/>
      <name val="Calibri"/>
      <family val="2"/>
      <scheme val="minor"/>
    </font>
  </fonts>
  <fills count="21">
    <fill>
      <patternFill patternType="none"/>
    </fill>
    <fill>
      <patternFill patternType="gray125"/>
    </fill>
    <fill>
      <patternFill patternType="solid">
        <fgColor rgb="FF1F3864"/>
        <bgColor rgb="FF1F3864"/>
      </patternFill>
    </fill>
    <fill>
      <patternFill patternType="solid">
        <fgColor rgb="FFD9E1F2"/>
        <bgColor rgb="FFD9E1F2"/>
      </patternFill>
    </fill>
    <fill>
      <patternFill patternType="solid">
        <fgColor rgb="FFFFC000"/>
        <bgColor indexed="64"/>
      </patternFill>
    </fill>
    <fill>
      <patternFill patternType="solid">
        <fgColor rgb="FFFFC000"/>
        <bgColor rgb="FFD9E1F2"/>
      </patternFill>
    </fill>
    <fill>
      <patternFill patternType="solid">
        <fgColor theme="0"/>
        <bgColor indexed="64"/>
      </patternFill>
    </fill>
    <fill>
      <patternFill patternType="solid">
        <fgColor rgb="FF1E4D2B"/>
        <bgColor rgb="FF1E4D2B"/>
      </patternFill>
    </fill>
    <fill>
      <patternFill patternType="solid">
        <fgColor rgb="FFFFE0E0"/>
        <bgColor rgb="FFFFE0E0"/>
      </patternFill>
    </fill>
    <fill>
      <patternFill patternType="solid">
        <fgColor theme="5" tint="0.79998168889431442"/>
        <bgColor rgb="FFFFE0E0"/>
      </patternFill>
    </fill>
    <fill>
      <patternFill patternType="solid">
        <fgColor rgb="FFFFC000"/>
        <bgColor rgb="FFFFE0E0"/>
      </patternFill>
    </fill>
    <fill>
      <patternFill patternType="solid">
        <fgColor rgb="FFE2EFDA"/>
        <bgColor rgb="FFE2EFDA"/>
      </patternFill>
    </fill>
    <fill>
      <patternFill patternType="solid">
        <fgColor theme="3" tint="-0.499984740745262"/>
        <bgColor indexed="64"/>
      </patternFill>
    </fill>
    <fill>
      <patternFill patternType="solid">
        <fgColor theme="4" tint="-0.499984740745262"/>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9" tint="-0.499984740745262"/>
        <bgColor indexed="64"/>
      </patternFill>
    </fill>
    <fill>
      <patternFill patternType="solid">
        <fgColor rgb="FFFF0000"/>
        <bgColor indexed="64"/>
      </patternFill>
    </fill>
    <fill>
      <patternFill patternType="solid">
        <fgColor theme="5" tint="-0.249977111117893"/>
        <bgColor indexed="64"/>
      </patternFill>
    </fill>
    <fill>
      <patternFill patternType="solid">
        <fgColor theme="9" tint="0.39997558519241921"/>
        <bgColor indexed="64"/>
      </patternFill>
    </fill>
    <fill>
      <patternFill patternType="solid">
        <fgColor rgb="FFA9D08E"/>
        <bgColor rgb="FF000000"/>
      </patternFill>
    </fill>
  </fills>
  <borders count="11">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4" fillId="0" borderId="0" applyNumberFormat="0" applyFill="0" applyBorder="0" applyAlignment="0" applyProtection="0"/>
  </cellStyleXfs>
  <cellXfs count="42">
    <xf numFmtId="0" fontId="0" fillId="0" borderId="0" xfId="0"/>
    <xf numFmtId="0" fontId="1" fillId="2" borderId="1" xfId="0" applyFont="1" applyFill="1" applyBorder="1" applyAlignment="1">
      <alignment horizontal="center" vertical="center"/>
    </xf>
    <xf numFmtId="0" fontId="2" fillId="3" borderId="1" xfId="0"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5" borderId="1" xfId="0" applyFont="1" applyFill="1" applyBorder="1" applyAlignment="1">
      <alignment horizontal="center" vertical="center"/>
    </xf>
    <xf numFmtId="0" fontId="2" fillId="6" borderId="1" xfId="0" applyFont="1" applyFill="1" applyBorder="1" applyAlignment="1">
      <alignment horizontal="center" vertical="center"/>
    </xf>
    <xf numFmtId="0" fontId="1" fillId="7" borderId="1" xfId="0" applyFont="1" applyFill="1" applyBorder="1" applyAlignment="1">
      <alignment horizontal="center" vertical="center"/>
    </xf>
    <xf numFmtId="0" fontId="2" fillId="8" borderId="1" xfId="0" applyFont="1" applyFill="1" applyBorder="1" applyAlignment="1">
      <alignment horizontal="center" vertical="center"/>
    </xf>
    <xf numFmtId="0" fontId="2" fillId="9" borderId="1" xfId="0" applyFont="1" applyFill="1" applyBorder="1" applyAlignment="1">
      <alignment horizontal="center" vertical="center"/>
    </xf>
    <xf numFmtId="0" fontId="2" fillId="10" borderId="1" xfId="0" applyFont="1" applyFill="1" applyBorder="1" applyAlignment="1">
      <alignment horizontal="center" vertical="center"/>
    </xf>
    <xf numFmtId="0" fontId="2" fillId="11" borderId="1" xfId="0" applyFont="1" applyFill="1" applyBorder="1" applyAlignment="1">
      <alignment horizontal="center" vertical="center"/>
    </xf>
    <xf numFmtId="0" fontId="0" fillId="0" borderId="0" xfId="0" pivotButton="1"/>
    <xf numFmtId="0" fontId="0" fillId="0" borderId="0" xfId="0" applyAlignment="1">
      <alignment horizontal="left"/>
    </xf>
    <xf numFmtId="0" fontId="7" fillId="0" borderId="0" xfId="0" applyFont="1"/>
    <xf numFmtId="0" fontId="0" fillId="15" borderId="0" xfId="0" applyFill="1"/>
    <xf numFmtId="0" fontId="11" fillId="16" borderId="0" xfId="0" applyFont="1" applyFill="1"/>
    <xf numFmtId="0" fontId="6" fillId="4" borderId="0" xfId="1" applyFont="1" applyFill="1" applyAlignment="1">
      <alignment horizontal="center"/>
    </xf>
    <xf numFmtId="0" fontId="4" fillId="4" borderId="0" xfId="1" applyFill="1" applyAlignment="1">
      <alignment horizontal="center"/>
    </xf>
    <xf numFmtId="0" fontId="8" fillId="13" borderId="0" xfId="1" applyFont="1" applyFill="1" applyAlignment="1">
      <alignment horizontal="center"/>
    </xf>
    <xf numFmtId="0" fontId="9" fillId="4" borderId="0" xfId="1" applyFont="1" applyFill="1" applyAlignment="1">
      <alignment horizontal="center"/>
    </xf>
    <xf numFmtId="0" fontId="5" fillId="12" borderId="0" xfId="0" applyFont="1" applyFill="1" applyAlignment="1">
      <alignment horizontal="center"/>
    </xf>
    <xf numFmtId="0" fontId="0" fillId="14" borderId="0" xfId="0" applyFill="1" applyAlignment="1">
      <alignment horizontal="center"/>
    </xf>
    <xf numFmtId="0" fontId="12" fillId="17" borderId="0" xfId="0" applyFont="1" applyFill="1" applyBorder="1" applyAlignment="1">
      <alignment horizontal="center"/>
    </xf>
    <xf numFmtId="0" fontId="12" fillId="17" borderId="2" xfId="0" applyFont="1" applyFill="1" applyBorder="1" applyAlignment="1">
      <alignment horizontal="center"/>
    </xf>
    <xf numFmtId="0" fontId="12" fillId="17" borderId="3" xfId="0" applyFont="1" applyFill="1" applyBorder="1" applyAlignment="1">
      <alignment horizontal="center"/>
    </xf>
    <xf numFmtId="0" fontId="12" fillId="17" borderId="4" xfId="0" applyFont="1" applyFill="1" applyBorder="1" applyAlignment="1">
      <alignment horizontal="center"/>
    </xf>
    <xf numFmtId="0" fontId="12" fillId="17" borderId="5" xfId="0" applyFont="1" applyFill="1" applyBorder="1" applyAlignment="1">
      <alignment horizontal="center"/>
    </xf>
    <xf numFmtId="0" fontId="12" fillId="17" borderId="6" xfId="0" applyFont="1" applyFill="1" applyBorder="1" applyAlignment="1">
      <alignment horizontal="center"/>
    </xf>
    <xf numFmtId="0" fontId="11" fillId="13" borderId="6" xfId="0" applyFont="1" applyFill="1" applyBorder="1"/>
    <xf numFmtId="0" fontId="0" fillId="0" borderId="6" xfId="0" applyBorder="1"/>
    <xf numFmtId="0" fontId="0" fillId="0" borderId="7" xfId="0" applyBorder="1"/>
    <xf numFmtId="0" fontId="11" fillId="13" borderId="8" xfId="0" applyFont="1" applyFill="1" applyBorder="1"/>
    <xf numFmtId="0" fontId="0" fillId="0" borderId="9" xfId="0" applyBorder="1"/>
    <xf numFmtId="0" fontId="0" fillId="0" borderId="10" xfId="0" applyBorder="1" applyAlignment="1">
      <alignment horizontal="left"/>
    </xf>
    <xf numFmtId="0" fontId="0" fillId="0" borderId="8" xfId="0" applyBorder="1" applyAlignment="1">
      <alignment horizontal="left"/>
    </xf>
    <xf numFmtId="0" fontId="0" fillId="0" borderId="10" xfId="0" applyBorder="1"/>
    <xf numFmtId="0" fontId="13" fillId="18" borderId="0" xfId="0" applyFont="1" applyFill="1" applyAlignment="1">
      <alignment horizontal="center"/>
    </xf>
    <xf numFmtId="0" fontId="14" fillId="18" borderId="0" xfId="0" applyFont="1" applyFill="1" applyAlignment="1">
      <alignment horizontal="center"/>
    </xf>
    <xf numFmtId="0" fontId="15" fillId="19" borderId="0" xfId="0" applyFont="1" applyFill="1" applyAlignment="1">
      <alignment horizontal="left" vertical="top"/>
    </xf>
    <xf numFmtId="0" fontId="16" fillId="20" borderId="0" xfId="0" applyFont="1" applyFill="1" applyAlignment="1">
      <alignment horizontal="left" vertical="top"/>
    </xf>
    <xf numFmtId="0" fontId="0" fillId="0" borderId="0" xfId="0" applyNumberFormat="1"/>
  </cellXfs>
  <cellStyles count="2">
    <cellStyle name="Hyperlink" xfId="1" builtinId="8"/>
    <cellStyle name="Normal" xfId="0" builtinId="0"/>
  </cellStyles>
  <dxfs count="6">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[Timetable_Manager.xlsm]Timetable_Pivot!PivotTable1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Timetable_Pivot!$B$3</c:f>
              <c:strCache>
                <c:ptCount val="1"/>
                <c:pt idx="0">
                  <c:v>Total</c:v>
                </c:pt>
              </c:strCache>
            </c:strRef>
          </c:tx>
          <c:spPr>
            <a:solidFill>
              <a:schemeClr val="accent1"/>
            </a:solidFill>
            <a:ln>
              <a:noFill/>
            </a:ln>
            <a:effectLst/>
          </c:spPr>
          <c:invertIfNegative val="0"/>
          <c:cat>
            <c:strRef>
              <c:f>Timetable_Pivot!$A$4:$A$41</c:f>
              <c:strCache>
                <c:ptCount val="37"/>
                <c:pt idx="0">
                  <c:v>AI</c:v>
                </c:pt>
                <c:pt idx="1">
                  <c:v>Algorithms</c:v>
                </c:pt>
                <c:pt idx="2">
                  <c:v>Analog Circuits</c:v>
                </c:pt>
                <c:pt idx="3">
                  <c:v>Blockchain</c:v>
                </c:pt>
                <c:pt idx="4">
                  <c:v>C++</c:v>
                </c:pt>
                <c:pt idx="5">
                  <c:v>CAD/CAM</c:v>
                </c:pt>
                <c:pt idx="6">
                  <c:v>Cloud Computing</c:v>
                </c:pt>
                <c:pt idx="7">
                  <c:v>Communication Skills</c:v>
                </c:pt>
                <c:pt idx="8">
                  <c:v>Compiler Design</c:v>
                </c:pt>
                <c:pt idx="9">
                  <c:v>Computer Networks</c:v>
                </c:pt>
                <c:pt idx="10">
                  <c:v>Control Systems</c:v>
                </c:pt>
                <c:pt idx="11">
                  <c:v>Cybersecurity</c:v>
                </c:pt>
                <c:pt idx="12">
                  <c:v>Data Mining</c:v>
                </c:pt>
                <c:pt idx="13">
                  <c:v>DBMS</c:v>
                </c:pt>
                <c:pt idx="14">
                  <c:v>Digital Signal Processing</c:v>
                </c:pt>
                <c:pt idx="15">
                  <c:v>Distributed Systems</c:v>
                </c:pt>
                <c:pt idx="16">
                  <c:v>Embedded Systems</c:v>
                </c:pt>
                <c:pt idx="17">
                  <c:v>Engineering Mathematics</c:v>
                </c:pt>
                <c:pt idx="18">
                  <c:v>Fluid Mechanics</c:v>
                </c:pt>
                <c:pt idx="19">
                  <c:v>IoT</c:v>
                </c:pt>
                <c:pt idx="20">
                  <c:v>Java Programming</c:v>
                </c:pt>
                <c:pt idx="21">
                  <c:v>Linear Algebra</c:v>
                </c:pt>
                <c:pt idx="22">
                  <c:v>Machine Design</c:v>
                </c:pt>
                <c:pt idx="23">
                  <c:v>Machine Learning</c:v>
                </c:pt>
                <c:pt idx="24">
                  <c:v>Manufacturing</c:v>
                </c:pt>
                <c:pt idx="25">
                  <c:v>Microprocessors</c:v>
                </c:pt>
                <c:pt idx="26">
                  <c:v>Power Systems</c:v>
                </c:pt>
                <c:pt idx="27">
                  <c:v>Python Programming</c:v>
                </c:pt>
                <c:pt idx="28">
                  <c:v>Robotics</c:v>
                </c:pt>
                <c:pt idx="29">
                  <c:v>Signals &amp; Systems</c:v>
                </c:pt>
                <c:pt idx="30">
                  <c:v>Software Engineering</c:v>
                </c:pt>
                <c:pt idx="31">
                  <c:v>Statistics</c:v>
                </c:pt>
                <c:pt idx="32">
                  <c:v>Technical Writing</c:v>
                </c:pt>
                <c:pt idx="33">
                  <c:v>Thermodynamics</c:v>
                </c:pt>
                <c:pt idx="34">
                  <c:v>VLSI Design</c:v>
                </c:pt>
                <c:pt idx="35">
                  <c:v>Web Technology</c:v>
                </c:pt>
                <c:pt idx="36">
                  <c:v>(blank)</c:v>
                </c:pt>
              </c:strCache>
            </c:strRef>
          </c:cat>
          <c:val>
            <c:numRef>
              <c:f>Timetable_Pivot!$B$4:$B$41</c:f>
              <c:numCache>
                <c:formatCode>General</c:formatCode>
                <c:ptCount val="37"/>
                <c:pt idx="0">
                  <c:v>7</c:v>
                </c:pt>
                <c:pt idx="1">
                  <c:v>3</c:v>
                </c:pt>
                <c:pt idx="2">
                  <c:v>1</c:v>
                </c:pt>
                <c:pt idx="3">
                  <c:v>1</c:v>
                </c:pt>
                <c:pt idx="4">
                  <c:v>3</c:v>
                </c:pt>
                <c:pt idx="5">
                  <c:v>5</c:v>
                </c:pt>
                <c:pt idx="6">
                  <c:v>7</c:v>
                </c:pt>
                <c:pt idx="7">
                  <c:v>3</c:v>
                </c:pt>
                <c:pt idx="8">
                  <c:v>4</c:v>
                </c:pt>
                <c:pt idx="9">
                  <c:v>3</c:v>
                </c:pt>
                <c:pt idx="10">
                  <c:v>4</c:v>
                </c:pt>
                <c:pt idx="11">
                  <c:v>12</c:v>
                </c:pt>
                <c:pt idx="12">
                  <c:v>5</c:v>
                </c:pt>
                <c:pt idx="13">
                  <c:v>6</c:v>
                </c:pt>
                <c:pt idx="14">
                  <c:v>10</c:v>
                </c:pt>
                <c:pt idx="15">
                  <c:v>4</c:v>
                </c:pt>
                <c:pt idx="16">
                  <c:v>2</c:v>
                </c:pt>
                <c:pt idx="17">
                  <c:v>4</c:v>
                </c:pt>
                <c:pt idx="18">
                  <c:v>10</c:v>
                </c:pt>
                <c:pt idx="19">
                  <c:v>2</c:v>
                </c:pt>
                <c:pt idx="20">
                  <c:v>5</c:v>
                </c:pt>
                <c:pt idx="21">
                  <c:v>3</c:v>
                </c:pt>
                <c:pt idx="22">
                  <c:v>2</c:v>
                </c:pt>
                <c:pt idx="23">
                  <c:v>3</c:v>
                </c:pt>
                <c:pt idx="24">
                  <c:v>2</c:v>
                </c:pt>
                <c:pt idx="25">
                  <c:v>1</c:v>
                </c:pt>
                <c:pt idx="26">
                  <c:v>2</c:v>
                </c:pt>
                <c:pt idx="27">
                  <c:v>2</c:v>
                </c:pt>
                <c:pt idx="28">
                  <c:v>3</c:v>
                </c:pt>
                <c:pt idx="29">
                  <c:v>8</c:v>
                </c:pt>
                <c:pt idx="30">
                  <c:v>6</c:v>
                </c:pt>
                <c:pt idx="31">
                  <c:v>4</c:v>
                </c:pt>
                <c:pt idx="32">
                  <c:v>2</c:v>
                </c:pt>
                <c:pt idx="33">
                  <c:v>8</c:v>
                </c:pt>
                <c:pt idx="34">
                  <c:v>5</c:v>
                </c:pt>
                <c:pt idx="35">
                  <c:v>5</c:v>
                </c:pt>
              </c:numCache>
            </c:numRef>
          </c:val>
          <c:extLst>
            <c:ext xmlns:c16="http://schemas.microsoft.com/office/drawing/2014/chart" uri="{C3380CC4-5D6E-409C-BE32-E72D297353CC}">
              <c16:uniqueId val="{00000000-D1AD-49D3-9214-AF1FE0F4704E}"/>
            </c:ext>
          </c:extLst>
        </c:ser>
        <c:dLbls>
          <c:showLegendKey val="0"/>
          <c:showVal val="0"/>
          <c:showCatName val="0"/>
          <c:showSerName val="0"/>
          <c:showPercent val="0"/>
          <c:showBubbleSize val="0"/>
        </c:dLbls>
        <c:gapWidth val="219"/>
        <c:overlap val="-27"/>
        <c:axId val="169774735"/>
        <c:axId val="169770895"/>
      </c:barChart>
      <c:catAx>
        <c:axId val="169774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770895"/>
        <c:crosses val="autoZero"/>
        <c:auto val="1"/>
        <c:lblAlgn val="ctr"/>
        <c:lblOffset val="100"/>
        <c:noMultiLvlLbl val="0"/>
      </c:catAx>
      <c:valAx>
        <c:axId val="1697708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7747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[Timetable_Manager.xlsm]Faculty_Pivot!PivotTable3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Faculty_Pivot!$B$3</c:f>
              <c:strCache>
                <c:ptCount val="1"/>
                <c:pt idx="0">
                  <c:v>Total</c:v>
                </c:pt>
              </c:strCache>
            </c:strRef>
          </c:tx>
          <c:spPr>
            <a:ln w="28575" cap="rnd">
              <a:solidFill>
                <a:schemeClr val="accent1"/>
              </a:solidFill>
              <a:round/>
            </a:ln>
            <a:effectLst/>
          </c:spPr>
          <c:marker>
            <c:symbol val="none"/>
          </c:marker>
          <c:cat>
            <c:strRef>
              <c:f>Faculty_Pivot!$A$4:$A$18</c:f>
              <c:strCache>
                <c:ptCount val="14"/>
                <c:pt idx="0">
                  <c:v>Harish Chaudhary</c:v>
                </c:pt>
                <c:pt idx="1">
                  <c:v>Harish Singh</c:v>
                </c:pt>
                <c:pt idx="2">
                  <c:v>Kavya Mishra</c:v>
                </c:pt>
                <c:pt idx="3">
                  <c:v>Lata Agarwal</c:v>
                </c:pt>
                <c:pt idx="4">
                  <c:v>Pooja Yadav</c:v>
                </c:pt>
                <c:pt idx="5">
                  <c:v>Priya Dubey</c:v>
                </c:pt>
                <c:pt idx="6">
                  <c:v>Priya Kumar</c:v>
                </c:pt>
                <c:pt idx="7">
                  <c:v>Rajesh Mishra</c:v>
                </c:pt>
                <c:pt idx="8">
                  <c:v>Ravi Chaudhary</c:v>
                </c:pt>
                <c:pt idx="9">
                  <c:v>Rekha Chaudhary</c:v>
                </c:pt>
                <c:pt idx="10">
                  <c:v>Rekha Dubey</c:v>
                </c:pt>
                <c:pt idx="11">
                  <c:v>Sanjay Mishra</c:v>
                </c:pt>
                <c:pt idx="12">
                  <c:v>Suresh Pandey</c:v>
                </c:pt>
                <c:pt idx="13">
                  <c:v>Swati Yadav</c:v>
                </c:pt>
              </c:strCache>
            </c:strRef>
          </c:cat>
          <c:val>
            <c:numRef>
              <c:f>Faculty_Pivot!$B$4:$B$18</c:f>
              <c:numCache>
                <c:formatCode>General</c:formatCode>
                <c:ptCount val="14"/>
                <c:pt idx="0">
                  <c:v>12</c:v>
                </c:pt>
                <c:pt idx="1">
                  <c:v>19</c:v>
                </c:pt>
                <c:pt idx="2">
                  <c:v>31</c:v>
                </c:pt>
                <c:pt idx="3">
                  <c:v>19</c:v>
                </c:pt>
                <c:pt idx="4">
                  <c:v>14</c:v>
                </c:pt>
                <c:pt idx="5">
                  <c:v>9</c:v>
                </c:pt>
                <c:pt idx="6">
                  <c:v>17</c:v>
                </c:pt>
                <c:pt idx="7">
                  <c:v>10</c:v>
                </c:pt>
                <c:pt idx="8">
                  <c:v>16</c:v>
                </c:pt>
                <c:pt idx="9">
                  <c:v>14</c:v>
                </c:pt>
                <c:pt idx="10">
                  <c:v>16</c:v>
                </c:pt>
                <c:pt idx="11">
                  <c:v>11</c:v>
                </c:pt>
                <c:pt idx="12">
                  <c:v>15</c:v>
                </c:pt>
                <c:pt idx="13">
                  <c:v>15</c:v>
                </c:pt>
              </c:numCache>
            </c:numRef>
          </c:val>
          <c:smooth val="0"/>
          <c:extLst>
            <c:ext xmlns:c16="http://schemas.microsoft.com/office/drawing/2014/chart" uri="{C3380CC4-5D6E-409C-BE32-E72D297353CC}">
              <c16:uniqueId val="{00000000-CA6A-4A04-89B1-666BA242168A}"/>
            </c:ext>
          </c:extLst>
        </c:ser>
        <c:dLbls>
          <c:showLegendKey val="0"/>
          <c:showVal val="0"/>
          <c:showCatName val="0"/>
          <c:showSerName val="0"/>
          <c:showPercent val="0"/>
          <c:showBubbleSize val="0"/>
        </c:dLbls>
        <c:smooth val="0"/>
        <c:axId val="387328975"/>
        <c:axId val="387329455"/>
      </c:lineChart>
      <c:catAx>
        <c:axId val="387328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329455"/>
        <c:crosses val="autoZero"/>
        <c:auto val="1"/>
        <c:lblAlgn val="ctr"/>
        <c:lblOffset val="100"/>
        <c:noMultiLvlLbl val="0"/>
      </c:catAx>
      <c:valAx>
        <c:axId val="3873294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3289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[Timetable_Manager.xlsm]Timetable_Pivot!PivotTable1</c:name>
    <c:fmtId val="4"/>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C000"/>
          </a:solidFill>
          <a:ln>
            <a:solidFill>
              <a:srgbClr val="FF0000"/>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Timetable_Pivot!$B$3</c:f>
              <c:strCache>
                <c:ptCount val="1"/>
                <c:pt idx="0">
                  <c:v>Total</c:v>
                </c:pt>
              </c:strCache>
            </c:strRef>
          </c:tx>
          <c:spPr>
            <a:solidFill>
              <a:srgbClr val="FFC000"/>
            </a:solidFill>
            <a:ln>
              <a:solidFill>
                <a:srgbClr val="FF0000"/>
              </a:solidFill>
            </a:ln>
            <a:effectLst>
              <a:outerShdw blurRad="57150" dist="19050" dir="5400000" algn="ctr" rotWithShape="0">
                <a:srgbClr val="000000">
                  <a:alpha val="63000"/>
                </a:srgbClr>
              </a:outerShdw>
            </a:effectLst>
          </c:spPr>
          <c:invertIfNegative val="0"/>
          <c:cat>
            <c:strRef>
              <c:f>Timetable_Pivot!$A$4:$A$41</c:f>
              <c:strCache>
                <c:ptCount val="37"/>
                <c:pt idx="0">
                  <c:v>AI</c:v>
                </c:pt>
                <c:pt idx="1">
                  <c:v>Algorithms</c:v>
                </c:pt>
                <c:pt idx="2">
                  <c:v>Analog Circuits</c:v>
                </c:pt>
                <c:pt idx="3">
                  <c:v>Blockchain</c:v>
                </c:pt>
                <c:pt idx="4">
                  <c:v>C++</c:v>
                </c:pt>
                <c:pt idx="5">
                  <c:v>CAD/CAM</c:v>
                </c:pt>
                <c:pt idx="6">
                  <c:v>Cloud Computing</c:v>
                </c:pt>
                <c:pt idx="7">
                  <c:v>Communication Skills</c:v>
                </c:pt>
                <c:pt idx="8">
                  <c:v>Compiler Design</c:v>
                </c:pt>
                <c:pt idx="9">
                  <c:v>Computer Networks</c:v>
                </c:pt>
                <c:pt idx="10">
                  <c:v>Control Systems</c:v>
                </c:pt>
                <c:pt idx="11">
                  <c:v>Cybersecurity</c:v>
                </c:pt>
                <c:pt idx="12">
                  <c:v>Data Mining</c:v>
                </c:pt>
                <c:pt idx="13">
                  <c:v>DBMS</c:v>
                </c:pt>
                <c:pt idx="14">
                  <c:v>Digital Signal Processing</c:v>
                </c:pt>
                <c:pt idx="15">
                  <c:v>Distributed Systems</c:v>
                </c:pt>
                <c:pt idx="16">
                  <c:v>Embedded Systems</c:v>
                </c:pt>
                <c:pt idx="17">
                  <c:v>Engineering Mathematics</c:v>
                </c:pt>
                <c:pt idx="18">
                  <c:v>Fluid Mechanics</c:v>
                </c:pt>
                <c:pt idx="19">
                  <c:v>IoT</c:v>
                </c:pt>
                <c:pt idx="20">
                  <c:v>Java Programming</c:v>
                </c:pt>
                <c:pt idx="21">
                  <c:v>Linear Algebra</c:v>
                </c:pt>
                <c:pt idx="22">
                  <c:v>Machine Design</c:v>
                </c:pt>
                <c:pt idx="23">
                  <c:v>Machine Learning</c:v>
                </c:pt>
                <c:pt idx="24">
                  <c:v>Manufacturing</c:v>
                </c:pt>
                <c:pt idx="25">
                  <c:v>Microprocessors</c:v>
                </c:pt>
                <c:pt idx="26">
                  <c:v>Power Systems</c:v>
                </c:pt>
                <c:pt idx="27">
                  <c:v>Python Programming</c:v>
                </c:pt>
                <c:pt idx="28">
                  <c:v>Robotics</c:v>
                </c:pt>
                <c:pt idx="29">
                  <c:v>Signals &amp; Systems</c:v>
                </c:pt>
                <c:pt idx="30">
                  <c:v>Software Engineering</c:v>
                </c:pt>
                <c:pt idx="31">
                  <c:v>Statistics</c:v>
                </c:pt>
                <c:pt idx="32">
                  <c:v>Technical Writing</c:v>
                </c:pt>
                <c:pt idx="33">
                  <c:v>Thermodynamics</c:v>
                </c:pt>
                <c:pt idx="34">
                  <c:v>VLSI Design</c:v>
                </c:pt>
                <c:pt idx="35">
                  <c:v>Web Technology</c:v>
                </c:pt>
                <c:pt idx="36">
                  <c:v>(blank)</c:v>
                </c:pt>
              </c:strCache>
            </c:strRef>
          </c:cat>
          <c:val>
            <c:numRef>
              <c:f>Timetable_Pivot!$B$4:$B$41</c:f>
              <c:numCache>
                <c:formatCode>General</c:formatCode>
                <c:ptCount val="37"/>
                <c:pt idx="0">
                  <c:v>7</c:v>
                </c:pt>
                <c:pt idx="1">
                  <c:v>3</c:v>
                </c:pt>
                <c:pt idx="2">
                  <c:v>1</c:v>
                </c:pt>
                <c:pt idx="3">
                  <c:v>1</c:v>
                </c:pt>
                <c:pt idx="4">
                  <c:v>3</c:v>
                </c:pt>
                <c:pt idx="5">
                  <c:v>5</c:v>
                </c:pt>
                <c:pt idx="6">
                  <c:v>7</c:v>
                </c:pt>
                <c:pt idx="7">
                  <c:v>3</c:v>
                </c:pt>
                <c:pt idx="8">
                  <c:v>4</c:v>
                </c:pt>
                <c:pt idx="9">
                  <c:v>3</c:v>
                </c:pt>
                <c:pt idx="10">
                  <c:v>4</c:v>
                </c:pt>
                <c:pt idx="11">
                  <c:v>12</c:v>
                </c:pt>
                <c:pt idx="12">
                  <c:v>5</c:v>
                </c:pt>
                <c:pt idx="13">
                  <c:v>6</c:v>
                </c:pt>
                <c:pt idx="14">
                  <c:v>10</c:v>
                </c:pt>
                <c:pt idx="15">
                  <c:v>4</c:v>
                </c:pt>
                <c:pt idx="16">
                  <c:v>2</c:v>
                </c:pt>
                <c:pt idx="17">
                  <c:v>4</c:v>
                </c:pt>
                <c:pt idx="18">
                  <c:v>10</c:v>
                </c:pt>
                <c:pt idx="19">
                  <c:v>2</c:v>
                </c:pt>
                <c:pt idx="20">
                  <c:v>5</c:v>
                </c:pt>
                <c:pt idx="21">
                  <c:v>3</c:v>
                </c:pt>
                <c:pt idx="22">
                  <c:v>2</c:v>
                </c:pt>
                <c:pt idx="23">
                  <c:v>3</c:v>
                </c:pt>
                <c:pt idx="24">
                  <c:v>2</c:v>
                </c:pt>
                <c:pt idx="25">
                  <c:v>1</c:v>
                </c:pt>
                <c:pt idx="26">
                  <c:v>2</c:v>
                </c:pt>
                <c:pt idx="27">
                  <c:v>2</c:v>
                </c:pt>
                <c:pt idx="28">
                  <c:v>3</c:v>
                </c:pt>
                <c:pt idx="29">
                  <c:v>8</c:v>
                </c:pt>
                <c:pt idx="30">
                  <c:v>6</c:v>
                </c:pt>
                <c:pt idx="31">
                  <c:v>4</c:v>
                </c:pt>
                <c:pt idx="32">
                  <c:v>2</c:v>
                </c:pt>
                <c:pt idx="33">
                  <c:v>8</c:v>
                </c:pt>
                <c:pt idx="34">
                  <c:v>5</c:v>
                </c:pt>
                <c:pt idx="35">
                  <c:v>5</c:v>
                </c:pt>
              </c:numCache>
            </c:numRef>
          </c:val>
          <c:extLst>
            <c:ext xmlns:c16="http://schemas.microsoft.com/office/drawing/2014/chart" uri="{C3380CC4-5D6E-409C-BE32-E72D297353CC}">
              <c16:uniqueId val="{00000000-C92F-481F-9FED-2FC6D60EC254}"/>
            </c:ext>
          </c:extLst>
        </c:ser>
        <c:dLbls>
          <c:showLegendKey val="0"/>
          <c:showVal val="0"/>
          <c:showCatName val="0"/>
          <c:showSerName val="0"/>
          <c:showPercent val="0"/>
          <c:showBubbleSize val="0"/>
        </c:dLbls>
        <c:gapWidth val="100"/>
        <c:overlap val="-24"/>
        <c:axId val="169774735"/>
        <c:axId val="169770895"/>
      </c:barChart>
      <c:catAx>
        <c:axId val="16977473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9770895"/>
        <c:crosses val="autoZero"/>
        <c:auto val="1"/>
        <c:lblAlgn val="ctr"/>
        <c:lblOffset val="100"/>
        <c:noMultiLvlLbl val="0"/>
      </c:catAx>
      <c:valAx>
        <c:axId val="16977089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97747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[Timetable_Manager.xlsm]Faculty_Pivot!PivotTable3</c:name>
    <c:fmtId val="4"/>
  </c:pivotSource>
  <c:chart>
    <c:title>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Faculty_Pivot!$B$3</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Faculty_Pivot!$A$4:$A$18</c:f>
              <c:strCache>
                <c:ptCount val="14"/>
                <c:pt idx="0">
                  <c:v>Harish Chaudhary</c:v>
                </c:pt>
                <c:pt idx="1">
                  <c:v>Harish Singh</c:v>
                </c:pt>
                <c:pt idx="2">
                  <c:v>Kavya Mishra</c:v>
                </c:pt>
                <c:pt idx="3">
                  <c:v>Lata Agarwal</c:v>
                </c:pt>
                <c:pt idx="4">
                  <c:v>Pooja Yadav</c:v>
                </c:pt>
                <c:pt idx="5">
                  <c:v>Priya Dubey</c:v>
                </c:pt>
                <c:pt idx="6">
                  <c:v>Priya Kumar</c:v>
                </c:pt>
                <c:pt idx="7">
                  <c:v>Rajesh Mishra</c:v>
                </c:pt>
                <c:pt idx="8">
                  <c:v>Ravi Chaudhary</c:v>
                </c:pt>
                <c:pt idx="9">
                  <c:v>Rekha Chaudhary</c:v>
                </c:pt>
                <c:pt idx="10">
                  <c:v>Rekha Dubey</c:v>
                </c:pt>
                <c:pt idx="11">
                  <c:v>Sanjay Mishra</c:v>
                </c:pt>
                <c:pt idx="12">
                  <c:v>Suresh Pandey</c:v>
                </c:pt>
                <c:pt idx="13">
                  <c:v>Swati Yadav</c:v>
                </c:pt>
              </c:strCache>
            </c:strRef>
          </c:cat>
          <c:val>
            <c:numRef>
              <c:f>Faculty_Pivot!$B$4:$B$18</c:f>
              <c:numCache>
                <c:formatCode>General</c:formatCode>
                <c:ptCount val="14"/>
                <c:pt idx="0">
                  <c:v>12</c:v>
                </c:pt>
                <c:pt idx="1">
                  <c:v>19</c:v>
                </c:pt>
                <c:pt idx="2">
                  <c:v>31</c:v>
                </c:pt>
                <c:pt idx="3">
                  <c:v>19</c:v>
                </c:pt>
                <c:pt idx="4">
                  <c:v>14</c:v>
                </c:pt>
                <c:pt idx="5">
                  <c:v>9</c:v>
                </c:pt>
                <c:pt idx="6">
                  <c:v>17</c:v>
                </c:pt>
                <c:pt idx="7">
                  <c:v>10</c:v>
                </c:pt>
                <c:pt idx="8">
                  <c:v>16</c:v>
                </c:pt>
                <c:pt idx="9">
                  <c:v>14</c:v>
                </c:pt>
                <c:pt idx="10">
                  <c:v>16</c:v>
                </c:pt>
                <c:pt idx="11">
                  <c:v>11</c:v>
                </c:pt>
                <c:pt idx="12">
                  <c:v>15</c:v>
                </c:pt>
                <c:pt idx="13">
                  <c:v>15</c:v>
                </c:pt>
              </c:numCache>
            </c:numRef>
          </c:val>
          <c:smooth val="0"/>
          <c:extLst>
            <c:ext xmlns:c16="http://schemas.microsoft.com/office/drawing/2014/chart" uri="{C3380CC4-5D6E-409C-BE32-E72D297353CC}">
              <c16:uniqueId val="{00000000-6400-4088-A6B2-875318D534B3}"/>
            </c:ext>
          </c:extLst>
        </c:ser>
        <c:dLbls>
          <c:showLegendKey val="0"/>
          <c:showVal val="0"/>
          <c:showCatName val="0"/>
          <c:showSerName val="0"/>
          <c:showPercent val="0"/>
          <c:showBubbleSize val="0"/>
        </c:dLbls>
        <c:marker val="1"/>
        <c:smooth val="0"/>
        <c:axId val="387328975"/>
        <c:axId val="387329455"/>
      </c:lineChart>
      <c:catAx>
        <c:axId val="387328975"/>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7329455"/>
        <c:crosses val="autoZero"/>
        <c:auto val="1"/>
        <c:lblAlgn val="ctr"/>
        <c:lblOffset val="100"/>
        <c:noMultiLvlLbl val="0"/>
      </c:catAx>
      <c:valAx>
        <c:axId val="38732945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73289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5</xdr:row>
          <xdr:rowOff>7620</xdr:rowOff>
        </xdr:from>
        <xdr:to>
          <xdr:col>15</xdr:col>
          <xdr:colOff>518160</xdr:colOff>
          <xdr:row>9</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Conflict_Check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83820</xdr:colOff>
          <xdr:row>7</xdr:row>
          <xdr:rowOff>68580</xdr:rowOff>
        </xdr:from>
        <xdr:to>
          <xdr:col>20</xdr:col>
          <xdr:colOff>480060</xdr:colOff>
          <xdr:row>12</xdr:row>
          <xdr:rowOff>68580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Overload</a:t>
              </a:r>
            </a:p>
            <a:p>
              <a:pPr algn="ctr" rtl="0">
                <a:defRPr sz="1000"/>
              </a:pPr>
              <a:r>
                <a:rPr lang="en-IN" sz="1100" b="0" i="0" u="none" strike="noStrike" baseline="0">
                  <a:solidFill>
                    <a:srgbClr val="000000"/>
                  </a:solidFill>
                  <a:latin typeface="Calibri"/>
                  <a:ea typeface="Calibri"/>
                  <a:cs typeface="Calibri"/>
                </a:rPr>
                <a:t>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106680</xdr:colOff>
          <xdr:row>15</xdr:row>
          <xdr:rowOff>76200</xdr:rowOff>
        </xdr:from>
        <xdr:to>
          <xdr:col>20</xdr:col>
          <xdr:colOff>502920</xdr:colOff>
          <xdr:row>20</xdr:row>
          <xdr:rowOff>106680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Remarks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464820</xdr:colOff>
      <xdr:row>4</xdr:row>
      <xdr:rowOff>30480</xdr:rowOff>
    </xdr:from>
    <xdr:to>
      <xdr:col>11</xdr:col>
      <xdr:colOff>160020</xdr:colOff>
      <xdr:row>19</xdr:row>
      <xdr:rowOff>30480</xdr:rowOff>
    </xdr:to>
    <xdr:graphicFrame macro="">
      <xdr:nvGraphicFramePr>
        <xdr:cNvPr id="2" name="Chart 1">
          <a:extLst>
            <a:ext uri="{FF2B5EF4-FFF2-40B4-BE49-F238E27FC236}">
              <a16:creationId xmlns:a16="http://schemas.microsoft.com/office/drawing/2014/main" id="{11BCD288-3628-3D48-269C-D5C861293C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60960</xdr:colOff>
      <xdr:row>5</xdr:row>
      <xdr:rowOff>15240</xdr:rowOff>
    </xdr:from>
    <xdr:to>
      <xdr:col>15</xdr:col>
      <xdr:colOff>60960</xdr:colOff>
      <xdr:row>18</xdr:row>
      <xdr:rowOff>104775</xdr:rowOff>
    </xdr:to>
    <mc:AlternateContent xmlns:mc="http://schemas.openxmlformats.org/markup-compatibility/2006">
      <mc:Choice xmlns:a14="http://schemas.microsoft.com/office/drawing/2010/main" Requires="a14">
        <xdr:graphicFrame macro="">
          <xdr:nvGraphicFramePr>
            <xdr:cNvPr id="3" name="Day">
              <a:extLst>
                <a:ext uri="{FF2B5EF4-FFF2-40B4-BE49-F238E27FC236}">
                  <a16:creationId xmlns:a16="http://schemas.microsoft.com/office/drawing/2014/main" id="{00EC5DA9-A72B-6C77-C7FD-633CA3BE07DC}"/>
                </a:ext>
              </a:extLst>
            </xdr:cNvPr>
            <xdr:cNvGraphicFramePr/>
          </xdr:nvGraphicFramePr>
          <xdr:xfrm>
            <a:off x="0" y="0"/>
            <a:ext cx="0" cy="0"/>
          </xdr:xfrm>
          <a:graphic>
            <a:graphicData uri="http://schemas.microsoft.com/office/drawing/2010/slicer">
              <sle:slicer xmlns:sle="http://schemas.microsoft.com/office/drawing/2010/slicer" name="Day"/>
            </a:graphicData>
          </a:graphic>
        </xdr:graphicFrame>
      </mc:Choice>
      <mc:Fallback>
        <xdr:sp macro="" textlink="">
          <xdr:nvSpPr>
            <xdr:cNvPr id="0" name=""/>
            <xdr:cNvSpPr>
              <a:spLocks noTextEdit="1"/>
            </xdr:cNvSpPr>
          </xdr:nvSpPr>
          <xdr:spPr>
            <a:xfrm>
              <a:off x="8641080" y="9296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2</xdr:col>
      <xdr:colOff>373380</xdr:colOff>
      <xdr:row>4</xdr:row>
      <xdr:rowOff>137160</xdr:rowOff>
    </xdr:from>
    <xdr:to>
      <xdr:col>10</xdr:col>
      <xdr:colOff>68580</xdr:colOff>
      <xdr:row>19</xdr:row>
      <xdr:rowOff>137160</xdr:rowOff>
    </xdr:to>
    <xdr:graphicFrame macro="">
      <xdr:nvGraphicFramePr>
        <xdr:cNvPr id="2" name="Chart 1">
          <a:extLst>
            <a:ext uri="{FF2B5EF4-FFF2-40B4-BE49-F238E27FC236}">
              <a16:creationId xmlns:a16="http://schemas.microsoft.com/office/drawing/2014/main" id="{4AD6C9BC-3CC8-F970-7545-3BCB3914C7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205740</xdr:colOff>
      <xdr:row>5</xdr:row>
      <xdr:rowOff>99061</xdr:rowOff>
    </xdr:from>
    <xdr:to>
      <xdr:col>13</xdr:col>
      <xdr:colOff>205740</xdr:colOff>
      <xdr:row>16</xdr:row>
      <xdr:rowOff>137161</xdr:rowOff>
    </xdr:to>
    <mc:AlternateContent xmlns:mc="http://schemas.openxmlformats.org/markup-compatibility/2006" xmlns:a14="http://schemas.microsoft.com/office/drawing/2010/main">
      <mc:Choice Requires="a14">
        <xdr:graphicFrame macro="">
          <xdr:nvGraphicFramePr>
            <xdr:cNvPr id="3" name="Designation">
              <a:extLst>
                <a:ext uri="{FF2B5EF4-FFF2-40B4-BE49-F238E27FC236}">
                  <a16:creationId xmlns:a16="http://schemas.microsoft.com/office/drawing/2014/main" id="{36E6C22F-8B3E-3648-9B48-49DF4DA38AA2}"/>
                </a:ext>
              </a:extLst>
            </xdr:cNvPr>
            <xdr:cNvGraphicFramePr/>
          </xdr:nvGraphicFramePr>
          <xdr:xfrm>
            <a:off x="0" y="0"/>
            <a:ext cx="0" cy="0"/>
          </xdr:xfrm>
          <a:graphic>
            <a:graphicData uri="http://schemas.microsoft.com/office/drawing/2010/slicer">
              <sle:slicer xmlns:sle="http://schemas.microsoft.com/office/drawing/2010/slicer" name="Designation"/>
            </a:graphicData>
          </a:graphic>
        </xdr:graphicFrame>
      </mc:Choice>
      <mc:Fallback xmlns="">
        <xdr:sp macro="" textlink="">
          <xdr:nvSpPr>
            <xdr:cNvPr id="0" name=""/>
            <xdr:cNvSpPr>
              <a:spLocks noTextEdit="1"/>
            </xdr:cNvSpPr>
          </xdr:nvSpPr>
          <xdr:spPr>
            <a:xfrm>
              <a:off x="7840980" y="1013461"/>
              <a:ext cx="1828800" cy="20497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335280</xdr:colOff>
      <xdr:row>6</xdr:row>
      <xdr:rowOff>129541</xdr:rowOff>
    </xdr:from>
    <xdr:to>
      <xdr:col>16</xdr:col>
      <xdr:colOff>335280</xdr:colOff>
      <xdr:row>15</xdr:row>
      <xdr:rowOff>7621</xdr:rowOff>
    </xdr:to>
    <mc:AlternateContent xmlns:mc="http://schemas.openxmlformats.org/markup-compatibility/2006">
      <mc:Choice xmlns:a14="http://schemas.microsoft.com/office/drawing/2010/main" Requires="a14">
        <xdr:graphicFrame macro="">
          <xdr:nvGraphicFramePr>
            <xdr:cNvPr id="4" name="Workload Status">
              <a:extLst>
                <a:ext uri="{FF2B5EF4-FFF2-40B4-BE49-F238E27FC236}">
                  <a16:creationId xmlns:a16="http://schemas.microsoft.com/office/drawing/2014/main" id="{37D7194D-C698-39ED-07E5-41EDBAFBC92B}"/>
                </a:ext>
              </a:extLst>
            </xdr:cNvPr>
            <xdr:cNvGraphicFramePr/>
          </xdr:nvGraphicFramePr>
          <xdr:xfrm>
            <a:off x="0" y="0"/>
            <a:ext cx="0" cy="0"/>
          </xdr:xfrm>
          <a:graphic>
            <a:graphicData uri="http://schemas.microsoft.com/office/drawing/2010/slicer">
              <sle:slicer xmlns:sle="http://schemas.microsoft.com/office/drawing/2010/slicer" name="Workload Status"/>
            </a:graphicData>
          </a:graphic>
        </xdr:graphicFrame>
      </mc:Choice>
      <mc:Fallback>
        <xdr:sp macro="" textlink="">
          <xdr:nvSpPr>
            <xdr:cNvPr id="0" name=""/>
            <xdr:cNvSpPr>
              <a:spLocks noTextEdit="1"/>
            </xdr:cNvSpPr>
          </xdr:nvSpPr>
          <xdr:spPr>
            <a:xfrm>
              <a:off x="9761220" y="1226821"/>
              <a:ext cx="1828800" cy="1524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30480</xdr:colOff>
      <xdr:row>10</xdr:row>
      <xdr:rowOff>152400</xdr:rowOff>
    </xdr:from>
    <xdr:to>
      <xdr:col>12</xdr:col>
      <xdr:colOff>601980</xdr:colOff>
      <xdr:row>31</xdr:row>
      <xdr:rowOff>114300</xdr:rowOff>
    </xdr:to>
    <xdr:graphicFrame macro="">
      <xdr:nvGraphicFramePr>
        <xdr:cNvPr id="2" name="Chart 1">
          <a:extLst>
            <a:ext uri="{FF2B5EF4-FFF2-40B4-BE49-F238E27FC236}">
              <a16:creationId xmlns:a16="http://schemas.microsoft.com/office/drawing/2014/main" id="{9E1FF322-F9E5-4028-BC3E-4389D41C73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342900</xdr:colOff>
      <xdr:row>11</xdr:row>
      <xdr:rowOff>175260</xdr:rowOff>
    </xdr:from>
    <xdr:to>
      <xdr:col>18</xdr:col>
      <xdr:colOff>358140</xdr:colOff>
      <xdr:row>25</xdr:row>
      <xdr:rowOff>83820</xdr:rowOff>
    </xdr:to>
    <mc:AlternateContent xmlns:mc="http://schemas.openxmlformats.org/markup-compatibility/2006">
      <mc:Choice xmlns:a14="http://schemas.microsoft.com/office/drawing/2010/main" Requires="a14">
        <xdr:graphicFrame macro="">
          <xdr:nvGraphicFramePr>
            <xdr:cNvPr id="3" name="Day 1">
              <a:extLst>
                <a:ext uri="{FF2B5EF4-FFF2-40B4-BE49-F238E27FC236}">
                  <a16:creationId xmlns:a16="http://schemas.microsoft.com/office/drawing/2014/main" id="{7A0D88F9-65FB-4DBC-BBB4-E6A0B5CDC349}"/>
                </a:ext>
              </a:extLst>
            </xdr:cNvPr>
            <xdr:cNvGraphicFramePr/>
          </xdr:nvGraphicFramePr>
          <xdr:xfrm>
            <a:off x="0" y="0"/>
            <a:ext cx="0" cy="0"/>
          </xdr:xfrm>
          <a:graphic>
            <a:graphicData uri="http://schemas.microsoft.com/office/drawing/2010/slicer">
              <sle:slicer xmlns:sle="http://schemas.microsoft.com/office/drawing/2010/slicer" name="Day 1"/>
            </a:graphicData>
          </a:graphic>
        </xdr:graphicFrame>
      </mc:Choice>
      <mc:Fallback>
        <xdr:sp macro="" textlink="">
          <xdr:nvSpPr>
            <xdr:cNvPr id="0" name=""/>
            <xdr:cNvSpPr>
              <a:spLocks noTextEdit="1"/>
            </xdr:cNvSpPr>
          </xdr:nvSpPr>
          <xdr:spPr>
            <a:xfrm>
              <a:off x="8216900" y="2109568"/>
              <a:ext cx="3043702" cy="237040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83820</xdr:colOff>
      <xdr:row>36</xdr:row>
      <xdr:rowOff>22860</xdr:rowOff>
    </xdr:from>
    <xdr:to>
      <xdr:col>12</xdr:col>
      <xdr:colOff>7620</xdr:colOff>
      <xdr:row>59</xdr:row>
      <xdr:rowOff>15240</xdr:rowOff>
    </xdr:to>
    <xdr:graphicFrame macro="">
      <xdr:nvGraphicFramePr>
        <xdr:cNvPr id="4" name="Chart 3">
          <a:extLst>
            <a:ext uri="{FF2B5EF4-FFF2-40B4-BE49-F238E27FC236}">
              <a16:creationId xmlns:a16="http://schemas.microsoft.com/office/drawing/2014/main" id="{25B605E1-2F07-4772-9EE2-27295978E2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12</xdr:col>
      <xdr:colOff>521320</xdr:colOff>
      <xdr:row>36</xdr:row>
      <xdr:rowOff>171543</xdr:rowOff>
    </xdr:from>
    <xdr:to>
      <xdr:col>17</xdr:col>
      <xdr:colOff>83263</xdr:colOff>
      <xdr:row>48</xdr:row>
      <xdr:rowOff>92369</xdr:rowOff>
    </xdr:to>
    <mc:AlternateContent xmlns:mc="http://schemas.openxmlformats.org/markup-compatibility/2006">
      <mc:Choice xmlns:a14="http://schemas.microsoft.com/office/drawing/2010/main" Requires="a14">
        <xdr:graphicFrame macro="">
          <xdr:nvGraphicFramePr>
            <xdr:cNvPr id="5" name="Designation 1">
              <a:extLst>
                <a:ext uri="{FF2B5EF4-FFF2-40B4-BE49-F238E27FC236}">
                  <a16:creationId xmlns:a16="http://schemas.microsoft.com/office/drawing/2014/main" id="{FB2611F4-A963-42F3-A101-F71125B83EA8}"/>
                </a:ext>
              </a:extLst>
            </xdr:cNvPr>
            <xdr:cNvGraphicFramePr/>
          </xdr:nvGraphicFramePr>
          <xdr:xfrm>
            <a:off x="0" y="0"/>
            <a:ext cx="0" cy="0"/>
          </xdr:xfrm>
          <a:graphic>
            <a:graphicData uri="http://schemas.microsoft.com/office/drawing/2010/slicer">
              <sle:slicer xmlns:sle="http://schemas.microsoft.com/office/drawing/2010/slicer" name="Designation 1"/>
            </a:graphicData>
          </a:graphic>
        </xdr:graphicFrame>
      </mc:Choice>
      <mc:Fallback>
        <xdr:sp macro="" textlink="">
          <xdr:nvSpPr>
            <xdr:cNvPr id="0" name=""/>
            <xdr:cNvSpPr>
              <a:spLocks noTextEdit="1"/>
            </xdr:cNvSpPr>
          </xdr:nvSpPr>
          <xdr:spPr>
            <a:xfrm>
              <a:off x="7789628" y="6502005"/>
              <a:ext cx="2590404" cy="20309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68580</xdr:colOff>
      <xdr:row>38</xdr:row>
      <xdr:rowOff>53339</xdr:rowOff>
    </xdr:from>
    <xdr:to>
      <xdr:col>21</xdr:col>
      <xdr:colOff>335280</xdr:colOff>
      <xdr:row>46</xdr:row>
      <xdr:rowOff>175260</xdr:rowOff>
    </xdr:to>
    <mc:AlternateContent xmlns:mc="http://schemas.openxmlformats.org/markup-compatibility/2006">
      <mc:Choice xmlns:a14="http://schemas.microsoft.com/office/drawing/2010/main" Requires="a14">
        <xdr:graphicFrame macro="">
          <xdr:nvGraphicFramePr>
            <xdr:cNvPr id="6" name="Workload Status 1">
              <a:extLst>
                <a:ext uri="{FF2B5EF4-FFF2-40B4-BE49-F238E27FC236}">
                  <a16:creationId xmlns:a16="http://schemas.microsoft.com/office/drawing/2014/main" id="{973B70EB-377A-4C3B-86C9-81C0EC915FD1}"/>
                </a:ext>
              </a:extLst>
            </xdr:cNvPr>
            <xdr:cNvGraphicFramePr/>
          </xdr:nvGraphicFramePr>
          <xdr:xfrm>
            <a:off x="0" y="0"/>
            <a:ext cx="0" cy="0"/>
          </xdr:xfrm>
          <a:graphic>
            <a:graphicData uri="http://schemas.microsoft.com/office/drawing/2010/slicer">
              <sle:slicer xmlns:sle="http://schemas.microsoft.com/office/drawing/2010/slicer" name="Workload Status 1"/>
            </a:graphicData>
          </a:graphic>
        </xdr:graphicFrame>
      </mc:Choice>
      <mc:Fallback>
        <xdr:sp macro="" textlink="">
          <xdr:nvSpPr>
            <xdr:cNvPr id="0" name=""/>
            <xdr:cNvSpPr>
              <a:spLocks noTextEdit="1"/>
            </xdr:cNvSpPr>
          </xdr:nvSpPr>
          <xdr:spPr>
            <a:xfrm>
              <a:off x="10971042" y="6735493"/>
              <a:ext cx="2083776" cy="152869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83820</xdr:colOff>
      <xdr:row>8</xdr:row>
      <xdr:rowOff>45720</xdr:rowOff>
    </xdr:from>
    <xdr:to>
      <xdr:col>9</xdr:col>
      <xdr:colOff>335280</xdr:colOff>
      <xdr:row>10</xdr:row>
      <xdr:rowOff>114300</xdr:rowOff>
    </xdr:to>
    <xdr:sp macro="" textlink="">
      <xdr:nvSpPr>
        <xdr:cNvPr id="7" name="TextBox 6">
          <a:extLst>
            <a:ext uri="{FF2B5EF4-FFF2-40B4-BE49-F238E27FC236}">
              <a16:creationId xmlns:a16="http://schemas.microsoft.com/office/drawing/2014/main" id="{68159E64-529A-9642-0013-7E77B6D393A7}"/>
            </a:ext>
          </a:extLst>
        </xdr:cNvPr>
        <xdr:cNvSpPr txBox="1"/>
      </xdr:nvSpPr>
      <xdr:spPr>
        <a:xfrm>
          <a:off x="1912620" y="1508760"/>
          <a:ext cx="3909060" cy="4343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000">
              <a:solidFill>
                <a:srgbClr val="FF0000"/>
              </a:solidFill>
            </a:rPr>
            <a:t>Sum of</a:t>
          </a:r>
          <a:r>
            <a:rPr lang="en-IN" sz="2000" baseline="0">
              <a:solidFill>
                <a:srgbClr val="FF0000"/>
              </a:solidFill>
            </a:rPr>
            <a:t> Duration vs Subject Name</a:t>
          </a:r>
          <a:endParaRPr lang="en-IN" sz="2000">
            <a:solidFill>
              <a:srgbClr val="FF0000"/>
            </a:solidFill>
          </a:endParaRPr>
        </a:p>
      </xdr:txBody>
    </xdr:sp>
    <xdr:clientData/>
  </xdr:twoCellAnchor>
  <xdr:twoCellAnchor>
    <xdr:from>
      <xdr:col>3</xdr:col>
      <xdr:colOff>53340</xdr:colOff>
      <xdr:row>33</xdr:row>
      <xdr:rowOff>160020</xdr:rowOff>
    </xdr:from>
    <xdr:to>
      <xdr:col>9</xdr:col>
      <xdr:colOff>0</xdr:colOff>
      <xdr:row>36</xdr:row>
      <xdr:rowOff>7620</xdr:rowOff>
    </xdr:to>
    <xdr:sp macro="" textlink="">
      <xdr:nvSpPr>
        <xdr:cNvPr id="8" name="TextBox 7">
          <a:extLst>
            <a:ext uri="{FF2B5EF4-FFF2-40B4-BE49-F238E27FC236}">
              <a16:creationId xmlns:a16="http://schemas.microsoft.com/office/drawing/2014/main" id="{4616D0DF-425C-D3A8-0D42-3F956C7E06E8}"/>
            </a:ext>
          </a:extLst>
        </xdr:cNvPr>
        <xdr:cNvSpPr txBox="1"/>
      </xdr:nvSpPr>
      <xdr:spPr>
        <a:xfrm>
          <a:off x="1882140" y="6195060"/>
          <a:ext cx="3604260" cy="3962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800">
              <a:solidFill>
                <a:srgbClr val="FF0000"/>
              </a:solidFill>
            </a:rPr>
            <a:t>Total Contact</a:t>
          </a:r>
          <a:r>
            <a:rPr lang="en-IN" sz="1800" baseline="0">
              <a:solidFill>
                <a:srgbClr val="FF0000"/>
              </a:solidFill>
            </a:rPr>
            <a:t> Hours vs Faculty Name</a:t>
          </a:r>
          <a:endParaRPr lang="en-IN" sz="1800">
            <a:solidFill>
              <a:srgbClr val="FF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YAR SEKHAR GHOSH" refreshedDate="46160.991816666668" createdVersion="8" refreshedVersion="8" minRefreshableVersion="3" recordCount="101" xr:uid="{C65F0250-DDB8-4B66-9AB3-7931EB09D318}">
  <cacheSource type="worksheet">
    <worksheetSource ref="A1:K1048576" sheet="Clean_Timetable_Schedule"/>
  </cacheSource>
  <cacheFields count="11">
    <cacheField name="Slot ID" numFmtId="0">
      <sharedItems containsBlank="1"/>
    </cacheField>
    <cacheField name="Day" numFmtId="0">
      <sharedItems containsBlank="1" count="8">
        <s v="Tuesday"/>
        <s v="Friday"/>
        <s v="Wednesday"/>
        <s v="Monday"/>
        <s v="Saturday"/>
        <s v="Unknown"/>
        <s v="Thursday"/>
        <m/>
      </sharedItems>
    </cacheField>
    <cacheField name="Time Slot" numFmtId="0">
      <sharedItems containsBlank="1"/>
    </cacheField>
    <cacheField name="Department" numFmtId="0">
      <sharedItems containsBlank="1" count="10">
        <s v="ECE"/>
        <s v="CE"/>
        <s v="ME"/>
        <s v="EEE"/>
        <s v="CSE"/>
        <s v="Unknown"/>
        <s v="IT"/>
        <s v="MCA"/>
        <s v="MBA"/>
        <m/>
      </sharedItems>
    </cacheField>
    <cacheField name="Subject Code" numFmtId="0">
      <sharedItems containsBlank="1"/>
    </cacheField>
    <cacheField name="Subject Name" numFmtId="0">
      <sharedItems containsBlank="1" count="37">
        <s v="Algorithms"/>
        <s v="Distributed Systems"/>
        <s v="C++"/>
        <s v="DBMS"/>
        <s v="Machine Learning"/>
        <s v="Digital Signal Processing"/>
        <s v="Linear Algebra"/>
        <s v="Thermodynamics"/>
        <s v="Cloud Computing"/>
        <s v="Engineering Mathematics"/>
        <s v="Communication Skills"/>
        <s v="IoT"/>
        <s v="Embedded Systems"/>
        <s v="AI"/>
        <s v="Data Mining"/>
        <s v="Python Programming"/>
        <s v="Manufacturing"/>
        <s v="Signals &amp; Systems"/>
        <s v="Fluid Mechanics"/>
        <s v="Cybersecurity"/>
        <s v="Power Systems"/>
        <s v="CAD/CAM"/>
        <s v="Blockchain"/>
        <s v="Robotics"/>
        <s v="Java Programming"/>
        <s v="VLSI Design"/>
        <s v="Software Engineering"/>
        <s v="Statistics"/>
        <s v="Technical Writing"/>
        <s v="Compiler Design"/>
        <s v="Analog Circuits"/>
        <s v="Computer Networks"/>
        <s v="Control Systems"/>
        <s v="Machine Design"/>
        <s v="Web Technology"/>
        <s v="Microprocessors"/>
        <m/>
      </sharedItems>
    </cacheField>
    <cacheField name="Faculty ID" numFmtId="0">
      <sharedItems containsBlank="1"/>
    </cacheField>
    <cacheField name="Semester" numFmtId="0">
      <sharedItems containsString="0" containsBlank="1" containsNumber="1" containsInteger="1" minValue="1" maxValue="8"/>
    </cacheField>
    <cacheField name="Section" numFmtId="0">
      <sharedItems containsBlank="1"/>
    </cacheField>
    <cacheField name="Duration (hrs)" numFmtId="0">
      <sharedItems containsString="0" containsBlank="1" containsNumber="1" containsInteger="1" minValue="1" maxValue="2"/>
    </cacheField>
    <cacheField name="Is Lab" numFmtId="0">
      <sharedItems containsBlank="1" count="3">
        <s v="No"/>
        <s v="Yes"/>
        <m/>
      </sharedItems>
    </cacheField>
  </cacheFields>
  <extLst>
    <ext xmlns:x14="http://schemas.microsoft.com/office/spreadsheetml/2009/9/main" uri="{725AE2AE-9491-48be-B2B4-4EB974FC3084}">
      <x14:pivotCacheDefinition pivotCacheId="113017103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YAR SEKHAR GHOSH" refreshedDate="46161.013649652778" createdVersion="8" refreshedVersion="8" minRefreshableVersion="3" recordCount="101" xr:uid="{E9238A85-4A50-4230-8C0B-DD862FBA1075}">
  <cacheSource type="worksheet">
    <worksheetSource ref="A1:L1048576" sheet="Clean_Faculty_Workload"/>
  </cacheSource>
  <cacheFields count="12">
    <cacheField name="Faculty ID" numFmtId="0">
      <sharedItems containsBlank="1"/>
    </cacheField>
    <cacheField name="Faculty Name" numFmtId="0">
      <sharedItems containsBlank="1" count="85">
        <s v="Sunita Sharma"/>
        <s v="Nisha Sharma"/>
        <s v="Ravi Singh"/>
        <s v="Uma Patel"/>
        <s v="Meena Verma"/>
        <s v="Rekha Agarwal"/>
        <s v="Mohan Verma"/>
        <s v="Arun Pandey"/>
        <s v="Ravi Chaudhary"/>
        <s v="Sanjay Mishra"/>
        <s v="Ravi Verma"/>
        <s v="Vikram Tiwari"/>
        <s v="Vikram Singh"/>
        <s v="Anita Singh"/>
        <s v="Meena Yadav"/>
        <s v="Mohan Yadav"/>
        <s v="Kavya Verma"/>
        <s v="Sanjay Yadav"/>
        <s v="Kavya Agarwal"/>
        <s v="Lata Chaudhary"/>
        <s v="Swati Yadav"/>
        <s v="Anita Tiwari"/>
        <s v="Pooja Dubey"/>
        <s v="Dinesh Singh"/>
        <s v="Suresh Agarwal"/>
        <s v="Dinesh Patel"/>
        <s v="Mohan Kumar"/>
        <s v="Kavya Joshi"/>
        <s v="Rajesh Tiwari"/>
        <s v="Meena Dubey"/>
        <s v="Prakash Singh"/>
        <s v="Deepak Dubey"/>
        <s v="Rajesh Dubey"/>
        <s v="Suresh Dubey"/>
        <s v="Kavya Mishra"/>
        <s v="Vikram Agarwal"/>
        <s v="Pooja Yadav"/>
        <s v="Prakash Pandey"/>
        <s v="Dinesh Gupta"/>
        <s v="Uma Srivastava"/>
        <s v="Arun Gupta"/>
        <s v="Suresh Pandey"/>
        <s v="Nisha Singh"/>
        <s v="Rajesh Mishra"/>
        <s v="Ravi Agarwal"/>
        <s v="Geeta Srivastava"/>
        <s v="Uma Sharma"/>
        <s v="Suresh Sharma"/>
        <s v="Harish Singh"/>
        <s v="Rekha Dubey"/>
        <s v="Harish Chaudhary"/>
        <s v="Vikram Kumar"/>
        <s v="Sunita Mishra"/>
        <s v="Kavya Patel"/>
        <s v="Priya Srivastava"/>
        <s v="Dinesh Yadav"/>
        <s v="Sanjay Tiwari"/>
        <s v="Ravi Kumar"/>
        <s v="Harish Verma"/>
        <s v="Lata Dubey"/>
        <s v="Lata Agarwal"/>
        <s v="Rajesh Agarwal"/>
        <s v="Sanjay Verma"/>
        <s v="Rekha Chaudhary"/>
        <s v="Priya Dubey"/>
        <s v="Meena Chaudhary"/>
        <s v="Dinesh Tiwari"/>
        <s v="Nisha Yadav"/>
        <s v="Priya Kumar"/>
        <s v="Kavya Singh"/>
        <s v="Arun Singh"/>
        <s v="Amit Mishra"/>
        <s v="Rekha Joshi"/>
        <s v="Anita Verma"/>
        <s v="Sanjay Joshi"/>
        <s v="Lata Joshi"/>
        <s v="Amit Gupta"/>
        <s v="Ravi Sharma"/>
        <s v="Amit Kumar"/>
        <s v="Prakash Yadav"/>
        <s v="Nisha Kumar"/>
        <s v="Kavya Sharma"/>
        <s v="Geeta Patel"/>
        <s v="Pooja Verma"/>
        <m/>
      </sharedItems>
    </cacheField>
    <cacheField name="Department" numFmtId="0">
      <sharedItems containsBlank="1" count="10">
        <s v="MBA"/>
        <s v="CE"/>
        <s v="ME"/>
        <s v="IT"/>
        <s v="EEE"/>
        <s v="CSE"/>
        <s v="ECE"/>
        <s v="Unknown"/>
        <s v="MCA"/>
        <m/>
      </sharedItems>
    </cacheField>
    <cacheField name="Designation" numFmtId="0">
      <sharedItems containsBlank="1" count="6">
        <s v="Senior Lecturer"/>
        <s v="Assistant Professor"/>
        <s v="Professor"/>
        <s v="Lecturer"/>
        <s v="Associate Professor"/>
        <m/>
      </sharedItems>
    </cacheField>
    <cacheField name="Experience (yrs)" numFmtId="0">
      <sharedItems containsString="0" containsBlank="1" containsNumber="1" containsInteger="1" minValue="1" maxValue="30"/>
    </cacheField>
    <cacheField name="Subjects Assigned" numFmtId="0">
      <sharedItems containsString="0" containsBlank="1" containsNumber="1" containsInteger="1" minValue="1" maxValue="4"/>
    </cacheField>
    <cacheField name="Theory Hours/Week" numFmtId="0">
      <sharedItems containsString="0" containsBlank="1" containsNumber="1" containsInteger="1" minValue="8" maxValue="18"/>
    </cacheField>
    <cacheField name="Lab Hours/Week" numFmtId="0">
      <sharedItems containsString="0" containsBlank="1" containsNumber="1" containsInteger="1" minValue="0" maxValue="6"/>
    </cacheField>
    <cacheField name="Total Contact Hours" numFmtId="0">
      <sharedItems containsString="0" containsBlank="1" containsNumber="1" containsInteger="1" minValue="8" maxValue="24"/>
    </cacheField>
    <cacheField name="Max Allowed Hours" numFmtId="0">
      <sharedItems containsString="0" containsBlank="1" containsNumber="1" containsInteger="1" minValue="18" maxValue="20"/>
    </cacheField>
    <cacheField name="Workload Status" numFmtId="0">
      <sharedItems containsBlank="1" count="4">
        <s v="Overworked"/>
        <s v="Normal"/>
        <s v="Underworked"/>
        <m/>
      </sharedItems>
    </cacheField>
    <cacheField name="Extra Duties" numFmtId="0">
      <sharedItems containsBlank="1"/>
    </cacheField>
  </cacheFields>
  <extLst>
    <ext xmlns:x14="http://schemas.microsoft.com/office/spreadsheetml/2009/9/main" uri="{725AE2AE-9491-48be-B2B4-4EB974FC3084}">
      <x14:pivotCacheDefinition pivotCacheId="26573275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1">
  <r>
    <s v="TS0001"/>
    <x v="0"/>
    <s v="11:00-12:00"/>
    <x v="0"/>
    <s v="EC105"/>
    <x v="0"/>
    <s v="FAC1048"/>
    <n v="1"/>
    <s v="A"/>
    <n v="1"/>
    <x v="0"/>
  </r>
  <r>
    <s v="TS0002"/>
    <x v="1"/>
    <s v="11:00-12:00"/>
    <x v="1"/>
    <s v="CE123"/>
    <x v="1"/>
    <s v="FAC1042"/>
    <n v="4"/>
    <s v="D"/>
    <n v="2"/>
    <x v="1"/>
  </r>
  <r>
    <s v="TS0003"/>
    <x v="2"/>
    <s v="10:00-11:00"/>
    <x v="2"/>
    <s v="ME107"/>
    <x v="2"/>
    <s v="FAC1049"/>
    <n v="7"/>
    <s v="A"/>
    <n v="1"/>
    <x v="0"/>
  </r>
  <r>
    <s v="TS0004"/>
    <x v="1"/>
    <s v="9:00-10:00"/>
    <x v="3"/>
    <s v="EE130"/>
    <x v="3"/>
    <s v="FAC1025"/>
    <n v="4"/>
    <s v="A"/>
    <n v="1"/>
    <x v="0"/>
  </r>
  <r>
    <s v="TS0005"/>
    <x v="3"/>
    <s v="2:00-3:00"/>
    <x v="3"/>
    <s v="EE109"/>
    <x v="4"/>
    <s v="FAC1030"/>
    <n v="6"/>
    <s v="C"/>
    <n v="2"/>
    <x v="1"/>
  </r>
  <r>
    <s v="TS0006"/>
    <x v="1"/>
    <s v="11:00-12:00"/>
    <x v="0"/>
    <s v="EC106"/>
    <x v="5"/>
    <s v="FAC1030"/>
    <n v="4"/>
    <s v="C"/>
    <n v="2"/>
    <x v="1"/>
  </r>
  <r>
    <s v="TS0007"/>
    <x v="2"/>
    <s v="9:00-10:00"/>
    <x v="4"/>
    <s v="CS107"/>
    <x v="6"/>
    <s v="FAC1037"/>
    <n v="7"/>
    <s v="D"/>
    <n v="1"/>
    <x v="0"/>
  </r>
  <r>
    <s v="TS0008"/>
    <x v="4"/>
    <s v="2:00-3:00"/>
    <x v="2"/>
    <s v="ME129"/>
    <x v="7"/>
    <s v="FAC1038"/>
    <n v="3"/>
    <s v="D"/>
    <n v="1"/>
    <x v="0"/>
  </r>
  <r>
    <s v="TS0009"/>
    <x v="4"/>
    <s v="2:00-3:00"/>
    <x v="0"/>
    <s v="EC120"/>
    <x v="8"/>
    <s v="FAC1005"/>
    <n v="8"/>
    <s v="C"/>
    <n v="2"/>
    <x v="1"/>
  </r>
  <r>
    <s v="TS0010"/>
    <x v="2"/>
    <s v="2:00-3:00"/>
    <x v="3"/>
    <s v="EE106"/>
    <x v="9"/>
    <s v="FAC1030"/>
    <n v="3"/>
    <s v="A"/>
    <n v="2"/>
    <x v="1"/>
  </r>
  <r>
    <s v="TS0011"/>
    <x v="1"/>
    <s v="4:00-5:00"/>
    <x v="2"/>
    <s v="ME130"/>
    <x v="10"/>
    <s v="FAC1001"/>
    <n v="8"/>
    <s v="A"/>
    <n v="2"/>
    <x v="1"/>
  </r>
  <r>
    <s v="TS0012"/>
    <x v="0"/>
    <s v="9:00-10:00"/>
    <x v="3"/>
    <s v="EE103"/>
    <x v="7"/>
    <s v="FAC1047"/>
    <n v="3"/>
    <s v="B"/>
    <n v="2"/>
    <x v="1"/>
  </r>
  <r>
    <s v="TS0013"/>
    <x v="0"/>
    <s v="4:00-5:00"/>
    <x v="3"/>
    <s v="EE125"/>
    <x v="11"/>
    <s v="FAC1047"/>
    <n v="6"/>
    <s v="D"/>
    <n v="1"/>
    <x v="0"/>
  </r>
  <r>
    <s v="TS0014"/>
    <x v="2"/>
    <s v="8:00-9:00"/>
    <x v="5"/>
    <s v="CE119"/>
    <x v="12"/>
    <s v="FAC1036"/>
    <n v="1"/>
    <s v="A"/>
    <n v="2"/>
    <x v="1"/>
  </r>
  <r>
    <s v="TS0015"/>
    <x v="3"/>
    <s v="4:00-5:00"/>
    <x v="0"/>
    <s v="EC108"/>
    <x v="3"/>
    <s v="FAC1047"/>
    <n v="8"/>
    <s v="B"/>
    <n v="1"/>
    <x v="0"/>
  </r>
  <r>
    <s v="TS0016"/>
    <x v="4"/>
    <s v="2:00-3:00"/>
    <x v="1"/>
    <s v="CE112"/>
    <x v="13"/>
    <s v="FAC1028"/>
    <n v="1"/>
    <s v="A"/>
    <n v="2"/>
    <x v="1"/>
  </r>
  <r>
    <s v="TS0017"/>
    <x v="0"/>
    <s v="11:00-12:00"/>
    <x v="6"/>
    <s v="IT118"/>
    <x v="13"/>
    <s v="FAC1029"/>
    <n v="3"/>
    <s v="C"/>
    <n v="2"/>
    <x v="1"/>
  </r>
  <r>
    <s v="TS0018"/>
    <x v="3"/>
    <s v="4:00-5:00"/>
    <x v="0"/>
    <s v="EC127"/>
    <x v="14"/>
    <s v="FAC1001"/>
    <n v="3"/>
    <s v="D"/>
    <n v="2"/>
    <x v="1"/>
  </r>
  <r>
    <s v="TS0019"/>
    <x v="0"/>
    <s v="2:00-3:00"/>
    <x v="1"/>
    <s v="CE101"/>
    <x v="15"/>
    <s v="FAC1025"/>
    <n v="5"/>
    <s v="D"/>
    <n v="2"/>
    <x v="1"/>
  </r>
  <r>
    <s v="TS0020"/>
    <x v="3"/>
    <s v="4:00-5:00"/>
    <x v="1"/>
    <s v="CE102"/>
    <x v="16"/>
    <s v="FAC1048"/>
    <n v="1"/>
    <s v="D"/>
    <n v="2"/>
    <x v="1"/>
  </r>
  <r>
    <s v="TS0021"/>
    <x v="1"/>
    <s v="9:00-10:00"/>
    <x v="5"/>
    <s v="EC122"/>
    <x v="17"/>
    <s v="FAC1016"/>
    <n v="4"/>
    <s v="A"/>
    <n v="2"/>
    <x v="1"/>
  </r>
  <r>
    <s v="TS0022"/>
    <x v="4"/>
    <s v="1:00-2:00"/>
    <x v="6"/>
    <s v="IT108"/>
    <x v="18"/>
    <s v="FAC1017"/>
    <n v="5"/>
    <s v="D"/>
    <n v="2"/>
    <x v="1"/>
  </r>
  <r>
    <s v="TS0023"/>
    <x v="3"/>
    <s v="4:00-5:00"/>
    <x v="4"/>
    <s v="CS107"/>
    <x v="19"/>
    <s v="FAC1033"/>
    <n v="6"/>
    <s v="A"/>
    <n v="2"/>
    <x v="1"/>
  </r>
  <r>
    <s v="TS0024"/>
    <x v="1"/>
    <s v="12:00-1:00"/>
    <x v="3"/>
    <s v="EE120"/>
    <x v="11"/>
    <s v="FAC1042"/>
    <n v="2"/>
    <s v="B"/>
    <n v="1"/>
    <x v="0"/>
  </r>
  <r>
    <s v="TS0025"/>
    <x v="2"/>
    <s v="12:00-1:00"/>
    <x v="0"/>
    <s v="EC120"/>
    <x v="20"/>
    <s v="FAC1014"/>
    <n v="5"/>
    <s v="D"/>
    <n v="2"/>
    <x v="1"/>
  </r>
  <r>
    <s v="TS0026"/>
    <x v="3"/>
    <s v="8:00-9:00"/>
    <x v="0"/>
    <s v="EC111"/>
    <x v="2"/>
    <s v="FAC1050"/>
    <n v="8"/>
    <s v="D"/>
    <n v="1"/>
    <x v="0"/>
  </r>
  <r>
    <s v="TS0027"/>
    <x v="2"/>
    <s v="4:00-5:00"/>
    <x v="0"/>
    <s v="EC105"/>
    <x v="8"/>
    <s v="FAC1028"/>
    <n v="5"/>
    <s v="C"/>
    <n v="2"/>
    <x v="1"/>
  </r>
  <r>
    <s v="TS0028"/>
    <x v="2"/>
    <s v="4:00-5:00"/>
    <x v="1"/>
    <s v="CE129"/>
    <x v="7"/>
    <s v="FAC1027"/>
    <n v="3"/>
    <s v="B"/>
    <n v="2"/>
    <x v="1"/>
  </r>
  <r>
    <s v="TS0029"/>
    <x v="4"/>
    <s v="11:00-12:00"/>
    <x v="2"/>
    <s v="ME109"/>
    <x v="9"/>
    <s v="FAC1011"/>
    <n v="8"/>
    <s v="B"/>
    <n v="1"/>
    <x v="0"/>
  </r>
  <r>
    <s v="TS0030"/>
    <x v="5"/>
    <s v="8:00-9:00"/>
    <x v="6"/>
    <s v="IT122"/>
    <x v="21"/>
    <s v="FAC1013"/>
    <n v="5"/>
    <s v="A"/>
    <n v="2"/>
    <x v="1"/>
  </r>
  <r>
    <s v="TS0031"/>
    <x v="3"/>
    <s v="9:00-10:00"/>
    <x v="7"/>
    <s v="MC129"/>
    <x v="22"/>
    <s v="FAC1017"/>
    <n v="2"/>
    <s v="D"/>
    <n v="1"/>
    <x v="0"/>
  </r>
  <r>
    <s v="TS0032"/>
    <x v="6"/>
    <s v="11:00-12:00"/>
    <x v="7"/>
    <s v="MC109"/>
    <x v="5"/>
    <s v="FAC1003"/>
    <n v="4"/>
    <s v="C"/>
    <n v="2"/>
    <x v="1"/>
  </r>
  <r>
    <s v="TS0033"/>
    <x v="4"/>
    <s v="9:00-10:00"/>
    <x v="6"/>
    <s v="IT124"/>
    <x v="23"/>
    <s v="FAC1020"/>
    <n v="6"/>
    <s v="D"/>
    <n v="1"/>
    <x v="0"/>
  </r>
  <r>
    <s v="TS0034"/>
    <x v="4"/>
    <s v="10:00-11:00"/>
    <x v="1"/>
    <s v="CE120"/>
    <x v="24"/>
    <s v="FAC1037"/>
    <n v="5"/>
    <s v="C"/>
    <n v="1"/>
    <x v="0"/>
  </r>
  <r>
    <s v="TS0035"/>
    <x v="6"/>
    <s v="11:00-12:00"/>
    <x v="6"/>
    <s v="IT117"/>
    <x v="19"/>
    <s v="FAC1031"/>
    <n v="6"/>
    <s v="A"/>
    <n v="1"/>
    <x v="0"/>
  </r>
  <r>
    <s v="TS0036"/>
    <x v="3"/>
    <s v="8:00-9:00"/>
    <x v="1"/>
    <s v="CE108"/>
    <x v="25"/>
    <s v="FAC1031"/>
    <n v="7"/>
    <s v="B"/>
    <n v="2"/>
    <x v="1"/>
  </r>
  <r>
    <s v="TS0037"/>
    <x v="4"/>
    <s v="8:00-9:00"/>
    <x v="7"/>
    <s v="MC129"/>
    <x v="7"/>
    <s v="FAC1049"/>
    <n v="4"/>
    <s v="B"/>
    <n v="2"/>
    <x v="1"/>
  </r>
  <r>
    <s v="TS0038"/>
    <x v="0"/>
    <s v="3:00-4:00"/>
    <x v="1"/>
    <s v="CE122"/>
    <x v="26"/>
    <s v="FAC1034"/>
    <n v="7"/>
    <s v="D"/>
    <n v="1"/>
    <x v="0"/>
  </r>
  <r>
    <s v="TS0039"/>
    <x v="4"/>
    <s v="12:00-1:00"/>
    <x v="8"/>
    <s v="MB125"/>
    <x v="18"/>
    <s v="FAC1050"/>
    <n v="4"/>
    <s v="C"/>
    <n v="2"/>
    <x v="1"/>
  </r>
  <r>
    <s v="TS0040"/>
    <x v="5"/>
    <s v="1:00-2:00"/>
    <x v="3"/>
    <s v="EE129"/>
    <x v="7"/>
    <s v="FAC1035"/>
    <n v="4"/>
    <s v="D"/>
    <n v="1"/>
    <x v="0"/>
  </r>
  <r>
    <s v="TS0041"/>
    <x v="2"/>
    <s v="4:00-5:00"/>
    <x v="0"/>
    <s v="EC115"/>
    <x v="24"/>
    <s v="FAC1027"/>
    <n v="7"/>
    <s v="A"/>
    <n v="1"/>
    <x v="0"/>
  </r>
  <r>
    <s v="TS0042"/>
    <x v="6"/>
    <s v="2:00-3:00"/>
    <x v="4"/>
    <s v="CS118"/>
    <x v="27"/>
    <s v="FAC1048"/>
    <n v="4"/>
    <s v="C"/>
    <n v="1"/>
    <x v="0"/>
  </r>
  <r>
    <s v="TS0043"/>
    <x v="4"/>
    <s v="2:00-3:00"/>
    <x v="4"/>
    <s v="CS124"/>
    <x v="28"/>
    <s v="FAC1011"/>
    <n v="7"/>
    <s v="A"/>
    <n v="1"/>
    <x v="0"/>
  </r>
  <r>
    <s v="TS0044"/>
    <x v="3"/>
    <s v="12:00-1:00"/>
    <x v="2"/>
    <s v="ME113"/>
    <x v="19"/>
    <s v="FAC1021"/>
    <n v="6"/>
    <s v="C"/>
    <n v="2"/>
    <x v="1"/>
  </r>
  <r>
    <s v="TS0045"/>
    <x v="6"/>
    <s v="8:00-9:00"/>
    <x v="7"/>
    <s v="MC124"/>
    <x v="18"/>
    <s v="FAC1035"/>
    <n v="4"/>
    <s v="A"/>
    <n v="2"/>
    <x v="1"/>
  </r>
  <r>
    <s v="TS0046"/>
    <x v="1"/>
    <s v="10:00-11:00"/>
    <x v="1"/>
    <s v="CE108"/>
    <x v="25"/>
    <s v="FAC1009"/>
    <n v="4"/>
    <s v="D"/>
    <n v="2"/>
    <x v="1"/>
  </r>
  <r>
    <s v="TS0047"/>
    <x v="0"/>
    <s v="12:00-1:00"/>
    <x v="2"/>
    <s v="ME104"/>
    <x v="5"/>
    <s v="FAC1038"/>
    <n v="7"/>
    <s v="D"/>
    <n v="2"/>
    <x v="1"/>
  </r>
  <r>
    <s v="TS0048"/>
    <x v="4"/>
    <s v="9:00-10:00"/>
    <x v="1"/>
    <s v="CE126"/>
    <x v="13"/>
    <s v="FAC1037"/>
    <n v="6"/>
    <s v="A"/>
    <n v="1"/>
    <x v="0"/>
  </r>
  <r>
    <s v="TS0049"/>
    <x v="6"/>
    <s v="1:00-2:00"/>
    <x v="7"/>
    <s v="MC121"/>
    <x v="29"/>
    <s v="FAC1030"/>
    <n v="3"/>
    <s v="C"/>
    <n v="2"/>
    <x v="1"/>
  </r>
  <r>
    <s v="TS0050"/>
    <x v="2"/>
    <s v="11:00-12:00"/>
    <x v="7"/>
    <s v="MC127"/>
    <x v="30"/>
    <s v="FAC1006"/>
    <n v="8"/>
    <s v="D"/>
    <n v="1"/>
    <x v="0"/>
  </r>
  <r>
    <s v="TS0051"/>
    <x v="6"/>
    <s v="11:00-12:00"/>
    <x v="8"/>
    <s v="MB112"/>
    <x v="6"/>
    <s v="FAC1017"/>
    <n v="5"/>
    <s v="A"/>
    <n v="2"/>
    <x v="1"/>
  </r>
  <r>
    <s v="TS0052"/>
    <x v="1"/>
    <s v="11:00-12:00"/>
    <x v="1"/>
    <s v="CE123"/>
    <x v="24"/>
    <s v="FAC1031"/>
    <n v="2"/>
    <s v="C"/>
    <n v="1"/>
    <x v="0"/>
  </r>
  <r>
    <s v="TS0053"/>
    <x v="6"/>
    <s v="4:00-5:00"/>
    <x v="1"/>
    <s v="CE117"/>
    <x v="21"/>
    <s v="FAC1023"/>
    <n v="8"/>
    <s v="C"/>
    <n v="1"/>
    <x v="0"/>
  </r>
  <r>
    <s v="TS0054"/>
    <x v="2"/>
    <s v="9:00-10:00"/>
    <x v="1"/>
    <s v="CE124"/>
    <x v="26"/>
    <s v="FAC1035"/>
    <n v="4"/>
    <s v="D"/>
    <n v="2"/>
    <x v="1"/>
  </r>
  <r>
    <s v="TS0055"/>
    <x v="0"/>
    <s v="1:00-2:00"/>
    <x v="5"/>
    <s v="EC106"/>
    <x v="25"/>
    <s v="FAC1020"/>
    <n v="1"/>
    <s v="A"/>
    <n v="1"/>
    <x v="0"/>
  </r>
  <r>
    <s v="TS0056"/>
    <x v="1"/>
    <s v="12:00-1:00"/>
    <x v="8"/>
    <s v="MB116"/>
    <x v="13"/>
    <s v="FAC1031"/>
    <n v="3"/>
    <s v="A"/>
    <n v="2"/>
    <x v="1"/>
  </r>
  <r>
    <s v="TS0057"/>
    <x v="6"/>
    <s v="9:00-10:00"/>
    <x v="0"/>
    <s v="EC119"/>
    <x v="31"/>
    <s v="FAC1041"/>
    <n v="5"/>
    <s v="A"/>
    <n v="1"/>
    <x v="0"/>
  </r>
  <r>
    <s v="TS0058"/>
    <x v="1"/>
    <s v="2:00-3:00"/>
    <x v="7"/>
    <s v="MC115"/>
    <x v="5"/>
    <s v="FAC1029"/>
    <n v="5"/>
    <s v="A"/>
    <n v="2"/>
    <x v="1"/>
  </r>
  <r>
    <s v="TS0059"/>
    <x v="0"/>
    <s v="11:00-12:00"/>
    <x v="1"/>
    <s v="CE106"/>
    <x v="18"/>
    <s v="FAC1036"/>
    <n v="1"/>
    <s v="D"/>
    <n v="2"/>
    <x v="1"/>
  </r>
  <r>
    <s v="TS0060"/>
    <x v="2"/>
    <s v="12:00-1:00"/>
    <x v="3"/>
    <s v="EE123"/>
    <x v="3"/>
    <s v="FAC1030"/>
    <n v="5"/>
    <s v="B"/>
    <n v="2"/>
    <x v="1"/>
  </r>
  <r>
    <s v="TS0061"/>
    <x v="0"/>
    <s v="9:00-10:00"/>
    <x v="1"/>
    <s v="CE102"/>
    <x v="8"/>
    <s v="FAC1011"/>
    <n v="2"/>
    <s v="D"/>
    <n v="1"/>
    <x v="0"/>
  </r>
  <r>
    <s v="TS0062"/>
    <x v="6"/>
    <s v="9:00-10:00"/>
    <x v="3"/>
    <s v="EE120"/>
    <x v="1"/>
    <s v="FAC1003"/>
    <n v="1"/>
    <s v="A"/>
    <n v="1"/>
    <x v="0"/>
  </r>
  <r>
    <s v="TS0063"/>
    <x v="0"/>
    <s v="3:00-4:00"/>
    <x v="3"/>
    <s v="EE117"/>
    <x v="32"/>
    <s v="FAC1042"/>
    <n v="3"/>
    <s v="D"/>
    <n v="2"/>
    <x v="1"/>
  </r>
  <r>
    <s v="TS0064"/>
    <x v="2"/>
    <s v="1:00-2:00"/>
    <x v="8"/>
    <s v="MB122"/>
    <x v="27"/>
    <s v="FAC1007"/>
    <n v="8"/>
    <s v="C"/>
    <n v="1"/>
    <x v="0"/>
  </r>
  <r>
    <s v="TS0065"/>
    <x v="5"/>
    <s v="1:00-2:00"/>
    <x v="8"/>
    <s v="MB104"/>
    <x v="4"/>
    <s v="FAC1050"/>
    <n v="7"/>
    <s v="A"/>
    <n v="1"/>
    <x v="0"/>
  </r>
  <r>
    <s v="TS0066"/>
    <x v="0"/>
    <s v="12:00-1:00"/>
    <x v="8"/>
    <s v="MB118"/>
    <x v="14"/>
    <s v="FAC1009"/>
    <n v="8"/>
    <s v="A"/>
    <n v="2"/>
    <x v="1"/>
  </r>
  <r>
    <s v="TS0067"/>
    <x v="1"/>
    <s v="2:00-3:00"/>
    <x v="2"/>
    <s v="ME103"/>
    <x v="21"/>
    <s v="FAC1015"/>
    <n v="2"/>
    <s v="B"/>
    <n v="2"/>
    <x v="1"/>
  </r>
  <r>
    <s v="TS0068"/>
    <x v="6"/>
    <s v="11:00-12:00"/>
    <x v="3"/>
    <s v="EE115"/>
    <x v="24"/>
    <s v="FAC1036"/>
    <n v="3"/>
    <s v="A"/>
    <n v="1"/>
    <x v="0"/>
  </r>
  <r>
    <s v="TS0069"/>
    <x v="3"/>
    <s v="12:00-1:00"/>
    <x v="6"/>
    <s v="IT124"/>
    <x v="1"/>
    <s v="FAC1020"/>
    <n v="8"/>
    <s v="D"/>
    <n v="1"/>
    <x v="0"/>
  </r>
  <r>
    <s v="TS0070"/>
    <x v="0"/>
    <s v="11:00-12:00"/>
    <x v="7"/>
    <s v="MC119"/>
    <x v="19"/>
    <s v="FAC1025"/>
    <n v="6"/>
    <s v="D"/>
    <n v="1"/>
    <x v="0"/>
  </r>
  <r>
    <s v="TS0071"/>
    <x v="0"/>
    <s v="4:00-5:00"/>
    <x v="2"/>
    <s v="ME119"/>
    <x v="29"/>
    <s v="FAC1022"/>
    <n v="2"/>
    <s v="D"/>
    <n v="2"/>
    <x v="1"/>
  </r>
  <r>
    <s v="TS0072"/>
    <x v="6"/>
    <s v="12:00-1:00"/>
    <x v="7"/>
    <s v="MC111"/>
    <x v="8"/>
    <s v="FAC1040"/>
    <n v="6"/>
    <s v="D"/>
    <n v="2"/>
    <x v="1"/>
  </r>
  <r>
    <s v="TS0073"/>
    <x v="0"/>
    <s v="12:00-1:00"/>
    <x v="4"/>
    <s v="CS108"/>
    <x v="23"/>
    <s v="FAC1048"/>
    <n v="2"/>
    <s v="A"/>
    <n v="2"/>
    <x v="1"/>
  </r>
  <r>
    <s v="TS0074"/>
    <x v="2"/>
    <s v="8:00-9:00"/>
    <x v="3"/>
    <s v="EE110"/>
    <x v="0"/>
    <s v="FAC1023"/>
    <n v="3"/>
    <s v="B"/>
    <n v="2"/>
    <x v="1"/>
  </r>
  <r>
    <s v="TS0075"/>
    <x v="1"/>
    <s v="2:00-3:00"/>
    <x v="2"/>
    <s v="ME120"/>
    <x v="17"/>
    <s v="FAC1044"/>
    <n v="3"/>
    <s v="B"/>
    <n v="2"/>
    <x v="1"/>
  </r>
  <r>
    <s v="TS0076"/>
    <x v="6"/>
    <s v="12:00-1:00"/>
    <x v="8"/>
    <s v="MB122"/>
    <x v="18"/>
    <s v="FAC1035"/>
    <n v="8"/>
    <s v="C"/>
    <n v="2"/>
    <x v="1"/>
  </r>
  <r>
    <s v="TS0077"/>
    <x v="0"/>
    <s v="2:00-3:00"/>
    <x v="3"/>
    <s v="EE128"/>
    <x v="19"/>
    <s v="FAC1031"/>
    <n v="6"/>
    <s v="C"/>
    <n v="1"/>
    <x v="0"/>
  </r>
  <r>
    <s v="TS0078"/>
    <x v="1"/>
    <s v="8:00-9:00"/>
    <x v="7"/>
    <s v="MC130"/>
    <x v="33"/>
    <s v="FAC1039"/>
    <n v="4"/>
    <s v="C"/>
    <n v="2"/>
    <x v="1"/>
  </r>
  <r>
    <s v="TS0079"/>
    <x v="4"/>
    <s v="8:00-9:00"/>
    <x v="3"/>
    <s v="EE110"/>
    <x v="34"/>
    <s v="FAC1029"/>
    <n v="3"/>
    <s v="A"/>
    <n v="2"/>
    <x v="1"/>
  </r>
  <r>
    <s v="TS0080"/>
    <x v="0"/>
    <s v="4:00-5:00"/>
    <x v="7"/>
    <s v="MC129"/>
    <x v="17"/>
    <s v="FAC1024"/>
    <n v="3"/>
    <s v="C"/>
    <n v="2"/>
    <x v="1"/>
  </r>
  <r>
    <s v="TS0081"/>
    <x v="3"/>
    <s v="10:00-11:00"/>
    <x v="6"/>
    <s v="IT125"/>
    <x v="26"/>
    <s v="FAC1015"/>
    <n v="7"/>
    <s v="A"/>
    <n v="1"/>
    <x v="0"/>
  </r>
  <r>
    <s v="TS0082"/>
    <x v="1"/>
    <s v="2:00-3:00"/>
    <x v="8"/>
    <s v="MB127"/>
    <x v="10"/>
    <s v="FAC1041"/>
    <n v="8"/>
    <s v="A"/>
    <n v="1"/>
    <x v="0"/>
  </r>
  <r>
    <s v="TS0083"/>
    <x v="4"/>
    <s v="2:00-3:00"/>
    <x v="0"/>
    <s v="EC104"/>
    <x v="19"/>
    <s v="FAC1009"/>
    <n v="8"/>
    <s v="A"/>
    <n v="1"/>
    <x v="0"/>
  </r>
  <r>
    <s v="TS0084"/>
    <x v="2"/>
    <s v="4:00-5:00"/>
    <x v="2"/>
    <s v="ME114"/>
    <x v="28"/>
    <s v="FAC1038"/>
    <n v="8"/>
    <s v="D"/>
    <n v="1"/>
    <x v="0"/>
  </r>
  <r>
    <s v="TS0085"/>
    <x v="6"/>
    <s v="11:00-12:00"/>
    <x v="6"/>
    <s v="IT128"/>
    <x v="35"/>
    <s v="FAC1024"/>
    <n v="1"/>
    <s v="D"/>
    <n v="1"/>
    <x v="0"/>
  </r>
  <r>
    <s v="TS0086"/>
    <x v="4"/>
    <s v="11:00-12:00"/>
    <x v="0"/>
    <s v="EC121"/>
    <x v="19"/>
    <s v="FAC1041"/>
    <n v="1"/>
    <s v="C"/>
    <n v="2"/>
    <x v="1"/>
  </r>
  <r>
    <s v="TS0087"/>
    <x v="1"/>
    <s v="11:00-12:00"/>
    <x v="1"/>
    <s v="CE127"/>
    <x v="31"/>
    <s v="FAC1015"/>
    <n v="1"/>
    <s v="C"/>
    <n v="2"/>
    <x v="1"/>
  </r>
  <r>
    <s v="TS0088"/>
    <x v="4"/>
    <s v="8:00-9:00"/>
    <x v="3"/>
    <s v="EE105"/>
    <x v="17"/>
    <s v="FAC1001"/>
    <n v="6"/>
    <s v="A"/>
    <n v="2"/>
    <x v="1"/>
  </r>
  <r>
    <s v="TS0089"/>
    <x v="1"/>
    <s v="9:00-10:00"/>
    <x v="4"/>
    <s v="CS124"/>
    <x v="34"/>
    <s v="FAC1005"/>
    <n v="2"/>
    <s v="D"/>
    <n v="1"/>
    <x v="0"/>
  </r>
  <r>
    <s v="TS0090"/>
    <x v="3"/>
    <s v="3:00-4:00"/>
    <x v="3"/>
    <s v="EE128"/>
    <x v="19"/>
    <s v="FAC1026"/>
    <n v="8"/>
    <s v="D"/>
    <n v="2"/>
    <x v="1"/>
  </r>
  <r>
    <s v="TS0091"/>
    <x v="3"/>
    <s v="10:00-11:00"/>
    <x v="6"/>
    <s v="IT109"/>
    <x v="5"/>
    <s v="FAC1040"/>
    <n v="7"/>
    <s v="C"/>
    <n v="2"/>
    <x v="1"/>
  </r>
  <r>
    <s v="TS0092"/>
    <x v="6"/>
    <s v="3:00-4:00"/>
    <x v="0"/>
    <s v="EC129"/>
    <x v="26"/>
    <s v="FAC1015"/>
    <n v="8"/>
    <s v="D"/>
    <n v="2"/>
    <x v="1"/>
  </r>
  <r>
    <s v="TS0093"/>
    <x v="4"/>
    <s v="12:00-1:00"/>
    <x v="6"/>
    <s v="IT112"/>
    <x v="2"/>
    <s v="FAC1010"/>
    <n v="2"/>
    <s v="A"/>
    <n v="1"/>
    <x v="0"/>
  </r>
  <r>
    <s v="TS0094"/>
    <x v="1"/>
    <s v="4:00-5:00"/>
    <x v="6"/>
    <s v="IT118"/>
    <x v="34"/>
    <s v="FAC1022"/>
    <n v="6"/>
    <s v="D"/>
    <n v="2"/>
    <x v="1"/>
  </r>
  <r>
    <s v="TS0095"/>
    <x v="1"/>
    <s v="4:00-5:00"/>
    <x v="3"/>
    <s v="EE107"/>
    <x v="27"/>
    <s v="FAC1010"/>
    <n v="2"/>
    <s v="C"/>
    <n v="2"/>
    <x v="1"/>
  </r>
  <r>
    <s v="TS0096"/>
    <x v="6"/>
    <s v="4:00-5:00"/>
    <x v="3"/>
    <s v="EE125"/>
    <x v="32"/>
    <s v="FAC1040"/>
    <n v="5"/>
    <s v="A"/>
    <n v="2"/>
    <x v="1"/>
  </r>
  <r>
    <s v="TS0097"/>
    <x v="3"/>
    <s v="10:00-11:00"/>
    <x v="3"/>
    <s v="EE128"/>
    <x v="9"/>
    <s v="FAC1010"/>
    <n v="3"/>
    <s v="A"/>
    <n v="1"/>
    <x v="0"/>
  </r>
  <r>
    <s v="TS0098"/>
    <x v="2"/>
    <s v="10:00-11:00"/>
    <x v="7"/>
    <s v="MC112"/>
    <x v="24"/>
    <s v="FAC1020"/>
    <n v="3"/>
    <s v="B"/>
    <n v="1"/>
    <x v="0"/>
  </r>
  <r>
    <s v="TS0099"/>
    <x v="6"/>
    <s v="3:00-4:00"/>
    <x v="3"/>
    <s v="EE114"/>
    <x v="14"/>
    <s v="FAC1018"/>
    <n v="7"/>
    <s v="A"/>
    <n v="1"/>
    <x v="0"/>
  </r>
  <r>
    <s v="TS0100"/>
    <x v="6"/>
    <s v="8:00-9:00"/>
    <x v="3"/>
    <s v="EE101"/>
    <x v="3"/>
    <s v="FAC1014"/>
    <n v="3"/>
    <s v="C"/>
    <n v="2"/>
    <x v="1"/>
  </r>
  <r>
    <m/>
    <x v="7"/>
    <m/>
    <x v="9"/>
    <m/>
    <x v="36"/>
    <m/>
    <m/>
    <m/>
    <m/>
    <x v="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1">
  <r>
    <s v="FAC1001"/>
    <x v="0"/>
    <x v="0"/>
    <x v="0"/>
    <n v="5"/>
    <n v="4"/>
    <n v="16"/>
    <n v="5"/>
    <n v="21"/>
    <n v="20"/>
    <x v="0"/>
    <s v="Exam Cell"/>
  </r>
  <r>
    <s v="FAC1002"/>
    <x v="1"/>
    <x v="0"/>
    <x v="1"/>
    <n v="19"/>
    <n v="4"/>
    <n v="17"/>
    <n v="3"/>
    <n v="20"/>
    <n v="20"/>
    <x v="1"/>
    <s v="Exam Cell"/>
  </r>
  <r>
    <s v="FAC1003"/>
    <x v="2"/>
    <x v="0"/>
    <x v="2"/>
    <n v="14"/>
    <n v="1"/>
    <n v="11"/>
    <n v="3"/>
    <n v="14"/>
    <n v="18"/>
    <x v="2"/>
    <s v="None"/>
  </r>
  <r>
    <s v="FAC1004"/>
    <x v="3"/>
    <x v="1"/>
    <x v="2"/>
    <n v="3"/>
    <n v="1"/>
    <n v="16"/>
    <n v="4"/>
    <n v="20"/>
    <n v="18"/>
    <x v="0"/>
    <s v="Research Cell"/>
  </r>
  <r>
    <s v="FAC1005"/>
    <x v="4"/>
    <x v="2"/>
    <x v="2"/>
    <n v="6"/>
    <n v="2"/>
    <n v="18"/>
    <n v="0"/>
    <n v="18"/>
    <n v="18"/>
    <x v="1"/>
    <s v="Library Committee"/>
  </r>
  <r>
    <s v="FAC1006"/>
    <x v="5"/>
    <x v="3"/>
    <x v="2"/>
    <n v="15"/>
    <n v="1"/>
    <n v="15"/>
    <n v="3"/>
    <n v="18"/>
    <n v="18"/>
    <x v="1"/>
    <s v="None"/>
  </r>
  <r>
    <s v="FAC1007"/>
    <x v="6"/>
    <x v="4"/>
    <x v="0"/>
    <n v="2"/>
    <n v="1"/>
    <n v="13"/>
    <n v="6"/>
    <n v="19"/>
    <n v="20"/>
    <x v="2"/>
    <s v="Sports Cell"/>
  </r>
  <r>
    <s v="FAC1008"/>
    <x v="7"/>
    <x v="5"/>
    <x v="0"/>
    <n v="21"/>
    <n v="1"/>
    <n v="13"/>
    <n v="4"/>
    <n v="17"/>
    <n v="20"/>
    <x v="2"/>
    <s v="Time Table Committee"/>
  </r>
  <r>
    <s v="FAC1009"/>
    <x v="8"/>
    <x v="6"/>
    <x v="3"/>
    <n v="6"/>
    <n v="1"/>
    <n v="11"/>
    <n v="5"/>
    <n v="16"/>
    <n v="20"/>
    <x v="2"/>
    <s v="None"/>
  </r>
  <r>
    <s v="FAC1010"/>
    <x v="9"/>
    <x v="3"/>
    <x v="3"/>
    <n v="26"/>
    <n v="3"/>
    <n v="9"/>
    <n v="2"/>
    <n v="11"/>
    <n v="20"/>
    <x v="2"/>
    <s v="Research Cell"/>
  </r>
  <r>
    <s v="FAC1011"/>
    <x v="10"/>
    <x v="2"/>
    <x v="2"/>
    <n v="21"/>
    <n v="4"/>
    <n v="10"/>
    <n v="4"/>
    <n v="14"/>
    <n v="18"/>
    <x v="2"/>
    <s v="None"/>
  </r>
  <r>
    <s v="FAC1012"/>
    <x v="11"/>
    <x v="6"/>
    <x v="0"/>
    <n v="12"/>
    <n v="1"/>
    <n v="13"/>
    <n v="2"/>
    <n v="15"/>
    <n v="20"/>
    <x v="2"/>
    <s v="None"/>
  </r>
  <r>
    <s v="FAC1013"/>
    <x v="12"/>
    <x v="7"/>
    <x v="2"/>
    <n v="17"/>
    <n v="1"/>
    <n v="18"/>
    <n v="2"/>
    <n v="20"/>
    <n v="18"/>
    <x v="0"/>
    <s v="Research Cell"/>
  </r>
  <r>
    <s v="FAC1014"/>
    <x v="13"/>
    <x v="2"/>
    <x v="0"/>
    <n v="14"/>
    <n v="3"/>
    <n v="18"/>
    <n v="5"/>
    <n v="23"/>
    <n v="20"/>
    <x v="0"/>
    <s v="Library Committee"/>
  </r>
  <r>
    <s v="FAC1015"/>
    <x v="14"/>
    <x v="1"/>
    <x v="2"/>
    <n v="29"/>
    <n v="2"/>
    <n v="13"/>
    <n v="5"/>
    <n v="18"/>
    <n v="18"/>
    <x v="1"/>
    <s v="Sports Cell"/>
  </r>
  <r>
    <s v="FAC1016"/>
    <x v="15"/>
    <x v="8"/>
    <x v="4"/>
    <n v="26"/>
    <n v="2"/>
    <n v="12"/>
    <n v="0"/>
    <n v="12"/>
    <n v="20"/>
    <x v="2"/>
    <s v="Time Table Committee"/>
  </r>
  <r>
    <s v="FAC1017"/>
    <x v="16"/>
    <x v="2"/>
    <x v="2"/>
    <n v="29"/>
    <n v="2"/>
    <n v="14"/>
    <n v="0"/>
    <n v="14"/>
    <n v="18"/>
    <x v="2"/>
    <s v="Exam Cell"/>
  </r>
  <r>
    <s v="FAC1018"/>
    <x v="17"/>
    <x v="3"/>
    <x v="4"/>
    <n v="3"/>
    <n v="3"/>
    <n v="11"/>
    <n v="0"/>
    <n v="11"/>
    <n v="20"/>
    <x v="2"/>
    <s v="Exam Cell"/>
  </r>
  <r>
    <s v="FAC1019"/>
    <x v="18"/>
    <x v="0"/>
    <x v="4"/>
    <n v="16"/>
    <n v="4"/>
    <n v="17"/>
    <n v="0"/>
    <n v="17"/>
    <n v="20"/>
    <x v="2"/>
    <s v="Research Cell"/>
  </r>
  <r>
    <s v="FAC1020"/>
    <x v="19"/>
    <x v="8"/>
    <x v="1"/>
    <n v="8"/>
    <n v="3"/>
    <n v="9"/>
    <n v="0"/>
    <n v="9"/>
    <n v="20"/>
    <x v="2"/>
    <s v="Library Committee"/>
  </r>
  <r>
    <s v="FAC1021"/>
    <x v="20"/>
    <x v="5"/>
    <x v="3"/>
    <n v="8"/>
    <n v="2"/>
    <n v="12"/>
    <n v="3"/>
    <n v="15"/>
    <n v="20"/>
    <x v="2"/>
    <s v="Sports Cell"/>
  </r>
  <r>
    <s v="FAC1022"/>
    <x v="21"/>
    <x v="7"/>
    <x v="3"/>
    <n v="3"/>
    <n v="1"/>
    <n v="14"/>
    <n v="6"/>
    <n v="20"/>
    <n v="20"/>
    <x v="1"/>
    <s v="Exam Cell"/>
  </r>
  <r>
    <s v="FAC1023"/>
    <x v="22"/>
    <x v="6"/>
    <x v="2"/>
    <n v="24"/>
    <n v="1"/>
    <n v="17"/>
    <n v="5"/>
    <n v="22"/>
    <n v="18"/>
    <x v="0"/>
    <s v="None"/>
  </r>
  <r>
    <s v="FAC1024"/>
    <x v="23"/>
    <x v="0"/>
    <x v="0"/>
    <n v="6"/>
    <n v="2"/>
    <n v="9"/>
    <n v="5"/>
    <n v="14"/>
    <n v="20"/>
    <x v="2"/>
    <s v="Exam Cell"/>
  </r>
  <r>
    <s v="FAC1025"/>
    <x v="24"/>
    <x v="5"/>
    <x v="2"/>
    <n v="17"/>
    <n v="4"/>
    <n v="16"/>
    <n v="3"/>
    <n v="19"/>
    <n v="18"/>
    <x v="0"/>
    <s v="Exam Cell"/>
  </r>
  <r>
    <s v="FAC1026"/>
    <x v="25"/>
    <x v="4"/>
    <x v="1"/>
    <n v="14"/>
    <n v="4"/>
    <n v="15"/>
    <n v="3"/>
    <n v="18"/>
    <n v="20"/>
    <x v="2"/>
    <s v="None"/>
  </r>
  <r>
    <s v="FAC1027"/>
    <x v="26"/>
    <x v="6"/>
    <x v="0"/>
    <n v="14"/>
    <n v="2"/>
    <n v="16"/>
    <n v="2"/>
    <n v="18"/>
    <n v="20"/>
    <x v="2"/>
    <s v="None"/>
  </r>
  <r>
    <s v="FAC1028"/>
    <x v="27"/>
    <x v="8"/>
    <x v="4"/>
    <n v="15"/>
    <n v="3"/>
    <n v="15"/>
    <n v="0"/>
    <n v="15"/>
    <n v="20"/>
    <x v="2"/>
    <s v="Exam Cell"/>
  </r>
  <r>
    <s v="FAC1029"/>
    <x v="28"/>
    <x v="8"/>
    <x v="2"/>
    <n v="26"/>
    <n v="2"/>
    <n v="8"/>
    <n v="1"/>
    <n v="9"/>
    <n v="18"/>
    <x v="2"/>
    <s v="Time Table Committee"/>
  </r>
  <r>
    <s v="FAC1030"/>
    <x v="29"/>
    <x v="3"/>
    <x v="2"/>
    <n v="19"/>
    <n v="1"/>
    <n v="17"/>
    <n v="1"/>
    <n v="18"/>
    <n v="18"/>
    <x v="1"/>
    <s v="Time Table Committee"/>
  </r>
  <r>
    <s v="FAC1031"/>
    <x v="30"/>
    <x v="3"/>
    <x v="0"/>
    <n v="21"/>
    <n v="3"/>
    <n v="11"/>
    <n v="0"/>
    <n v="11"/>
    <n v="20"/>
    <x v="2"/>
    <s v="Time Table Committee"/>
  </r>
  <r>
    <s v="FAC1032"/>
    <x v="31"/>
    <x v="4"/>
    <x v="0"/>
    <n v="20"/>
    <n v="3"/>
    <n v="15"/>
    <n v="1"/>
    <n v="16"/>
    <n v="20"/>
    <x v="2"/>
    <s v="Library Committee"/>
  </r>
  <r>
    <s v="FAC1033"/>
    <x v="32"/>
    <x v="3"/>
    <x v="2"/>
    <n v="3"/>
    <n v="3"/>
    <n v="12"/>
    <n v="6"/>
    <n v="18"/>
    <n v="18"/>
    <x v="1"/>
    <s v="Time Table Committee"/>
  </r>
  <r>
    <s v="FAC1034"/>
    <x v="33"/>
    <x v="2"/>
    <x v="4"/>
    <n v="1"/>
    <n v="3"/>
    <n v="16"/>
    <n v="4"/>
    <n v="20"/>
    <n v="20"/>
    <x v="1"/>
    <s v="Time Table Committee"/>
  </r>
  <r>
    <s v="FAC1035"/>
    <x v="34"/>
    <x v="0"/>
    <x v="3"/>
    <n v="25"/>
    <n v="4"/>
    <n v="17"/>
    <n v="0"/>
    <n v="17"/>
    <n v="20"/>
    <x v="2"/>
    <s v="None"/>
  </r>
  <r>
    <s v="FAC1036"/>
    <x v="35"/>
    <x v="2"/>
    <x v="4"/>
    <n v="17"/>
    <n v="1"/>
    <n v="9"/>
    <n v="4"/>
    <n v="13"/>
    <n v="20"/>
    <x v="2"/>
    <s v="None"/>
  </r>
  <r>
    <s v="FAC1037"/>
    <x v="36"/>
    <x v="7"/>
    <x v="1"/>
    <n v="7"/>
    <n v="3"/>
    <n v="10"/>
    <n v="5"/>
    <n v="15"/>
    <n v="20"/>
    <x v="2"/>
    <s v="Research Cell"/>
  </r>
  <r>
    <s v="FAC1038"/>
    <x v="37"/>
    <x v="2"/>
    <x v="4"/>
    <n v="20"/>
    <n v="3"/>
    <n v="17"/>
    <n v="0"/>
    <n v="17"/>
    <n v="20"/>
    <x v="2"/>
    <s v="None"/>
  </r>
  <r>
    <s v="FAC1039"/>
    <x v="38"/>
    <x v="8"/>
    <x v="3"/>
    <n v="1"/>
    <n v="4"/>
    <n v="18"/>
    <n v="4"/>
    <n v="22"/>
    <n v="20"/>
    <x v="0"/>
    <s v="Sports Cell"/>
  </r>
  <r>
    <s v="FAC1040"/>
    <x v="27"/>
    <x v="6"/>
    <x v="1"/>
    <n v="15"/>
    <n v="4"/>
    <n v="15"/>
    <n v="3"/>
    <n v="18"/>
    <n v="20"/>
    <x v="2"/>
    <s v="None"/>
  </r>
  <r>
    <s v="FAC1041"/>
    <x v="39"/>
    <x v="3"/>
    <x v="0"/>
    <n v="25"/>
    <n v="3"/>
    <n v="16"/>
    <n v="4"/>
    <n v="20"/>
    <n v="20"/>
    <x v="1"/>
    <s v="None"/>
  </r>
  <r>
    <s v="FAC1042"/>
    <x v="40"/>
    <x v="2"/>
    <x v="1"/>
    <n v="10"/>
    <n v="4"/>
    <n v="17"/>
    <n v="3"/>
    <n v="20"/>
    <n v="20"/>
    <x v="1"/>
    <s v="None"/>
  </r>
  <r>
    <s v="FAC1043"/>
    <x v="33"/>
    <x v="2"/>
    <x v="0"/>
    <n v="15"/>
    <n v="4"/>
    <n v="12"/>
    <n v="3"/>
    <n v="15"/>
    <n v="20"/>
    <x v="2"/>
    <s v="None"/>
  </r>
  <r>
    <s v="FAC1044"/>
    <x v="41"/>
    <x v="3"/>
    <x v="1"/>
    <n v="10"/>
    <n v="4"/>
    <n v="17"/>
    <n v="6"/>
    <n v="23"/>
    <n v="20"/>
    <x v="0"/>
    <s v="Time Table Committee"/>
  </r>
  <r>
    <s v="FAC1045"/>
    <x v="42"/>
    <x v="4"/>
    <x v="2"/>
    <n v="12"/>
    <n v="1"/>
    <n v="14"/>
    <n v="0"/>
    <n v="14"/>
    <n v="18"/>
    <x v="2"/>
    <s v="None"/>
  </r>
  <r>
    <s v="FAC1046"/>
    <x v="43"/>
    <x v="0"/>
    <x v="3"/>
    <n v="27"/>
    <n v="1"/>
    <n v="10"/>
    <n v="0"/>
    <n v="10"/>
    <n v="20"/>
    <x v="2"/>
    <s v="Research Cell"/>
  </r>
  <r>
    <s v="FAC1047"/>
    <x v="41"/>
    <x v="8"/>
    <x v="3"/>
    <n v="2"/>
    <n v="1"/>
    <n v="10"/>
    <n v="5"/>
    <n v="15"/>
    <n v="20"/>
    <x v="2"/>
    <s v="Research Cell"/>
  </r>
  <r>
    <s v="FAC1048"/>
    <x v="44"/>
    <x v="3"/>
    <x v="4"/>
    <n v="20"/>
    <n v="3"/>
    <n v="17"/>
    <n v="2"/>
    <n v="19"/>
    <n v="20"/>
    <x v="2"/>
    <s v="None"/>
  </r>
  <r>
    <s v="FAC1049"/>
    <x v="45"/>
    <x v="5"/>
    <x v="2"/>
    <n v="22"/>
    <n v="1"/>
    <n v="14"/>
    <n v="4"/>
    <n v="18"/>
    <n v="18"/>
    <x v="1"/>
    <s v="None"/>
  </r>
  <r>
    <s v="FAC1050"/>
    <x v="46"/>
    <x v="0"/>
    <x v="4"/>
    <n v="21"/>
    <n v="4"/>
    <n v="10"/>
    <n v="6"/>
    <n v="16"/>
    <n v="20"/>
    <x v="2"/>
    <s v="Time Table Committee"/>
  </r>
  <r>
    <s v="FAC1051"/>
    <x v="47"/>
    <x v="0"/>
    <x v="2"/>
    <n v="5"/>
    <n v="4"/>
    <n v="11"/>
    <n v="3"/>
    <n v="14"/>
    <n v="18"/>
    <x v="2"/>
    <s v="Exam Cell"/>
  </r>
  <r>
    <s v="FAC1052"/>
    <x v="48"/>
    <x v="1"/>
    <x v="3"/>
    <n v="22"/>
    <n v="4"/>
    <n v="16"/>
    <n v="3"/>
    <n v="19"/>
    <n v="20"/>
    <x v="2"/>
    <s v="None"/>
  </r>
  <r>
    <s v="FAC1053"/>
    <x v="49"/>
    <x v="4"/>
    <x v="3"/>
    <n v="7"/>
    <n v="2"/>
    <n v="12"/>
    <n v="4"/>
    <n v="16"/>
    <n v="20"/>
    <x v="2"/>
    <s v="None"/>
  </r>
  <r>
    <s v="FAC1054"/>
    <x v="50"/>
    <x v="0"/>
    <x v="2"/>
    <n v="12"/>
    <n v="3"/>
    <n v="12"/>
    <n v="0"/>
    <n v="12"/>
    <n v="18"/>
    <x v="2"/>
    <s v="None"/>
  </r>
  <r>
    <s v="FAC1055"/>
    <x v="51"/>
    <x v="5"/>
    <x v="2"/>
    <n v="3"/>
    <n v="3"/>
    <n v="15"/>
    <n v="5"/>
    <n v="20"/>
    <n v="18"/>
    <x v="0"/>
    <s v="None"/>
  </r>
  <r>
    <s v="FAC1056"/>
    <x v="19"/>
    <x v="4"/>
    <x v="4"/>
    <n v="20"/>
    <n v="2"/>
    <n v="11"/>
    <n v="0"/>
    <n v="11"/>
    <n v="20"/>
    <x v="2"/>
    <s v="Exam Cell"/>
  </r>
  <r>
    <s v="FAC1057"/>
    <x v="52"/>
    <x v="3"/>
    <x v="0"/>
    <n v="22"/>
    <n v="2"/>
    <n v="8"/>
    <n v="4"/>
    <n v="12"/>
    <n v="20"/>
    <x v="2"/>
    <s v="None"/>
  </r>
  <r>
    <s v="FAC1058"/>
    <x v="53"/>
    <x v="4"/>
    <x v="1"/>
    <n v="21"/>
    <n v="2"/>
    <n v="16"/>
    <n v="5"/>
    <n v="21"/>
    <n v="20"/>
    <x v="0"/>
    <s v="Research Cell"/>
  </r>
  <r>
    <s v="FAC1059"/>
    <x v="54"/>
    <x v="8"/>
    <x v="0"/>
    <n v="30"/>
    <n v="3"/>
    <n v="8"/>
    <n v="0"/>
    <n v="8"/>
    <n v="20"/>
    <x v="2"/>
    <s v="Library Committee"/>
  </r>
  <r>
    <s v="FAC1060"/>
    <x v="55"/>
    <x v="0"/>
    <x v="4"/>
    <n v="15"/>
    <n v="3"/>
    <n v="11"/>
    <n v="6"/>
    <n v="17"/>
    <n v="20"/>
    <x v="2"/>
    <s v="None"/>
  </r>
  <r>
    <s v="FAC1061"/>
    <x v="48"/>
    <x v="5"/>
    <x v="2"/>
    <n v="19"/>
    <n v="2"/>
    <n v="10"/>
    <n v="4"/>
    <n v="14"/>
    <n v="18"/>
    <x v="2"/>
    <s v="Time Table Committee"/>
  </r>
  <r>
    <s v="FAC1062"/>
    <x v="56"/>
    <x v="6"/>
    <x v="4"/>
    <n v="16"/>
    <n v="3"/>
    <n v="11"/>
    <n v="0"/>
    <n v="11"/>
    <n v="20"/>
    <x v="2"/>
    <s v="None"/>
  </r>
  <r>
    <s v="FAC1063"/>
    <x v="57"/>
    <x v="5"/>
    <x v="2"/>
    <n v="12"/>
    <n v="2"/>
    <n v="8"/>
    <n v="5"/>
    <n v="13"/>
    <n v="18"/>
    <x v="2"/>
    <s v="None"/>
  </r>
  <r>
    <s v="FAC1064"/>
    <x v="58"/>
    <x v="4"/>
    <x v="2"/>
    <n v="8"/>
    <n v="2"/>
    <n v="10"/>
    <n v="3"/>
    <n v="13"/>
    <n v="18"/>
    <x v="2"/>
    <s v="Library Committee"/>
  </r>
  <r>
    <s v="FAC1065"/>
    <x v="59"/>
    <x v="1"/>
    <x v="4"/>
    <n v="25"/>
    <n v="1"/>
    <n v="16"/>
    <n v="3"/>
    <n v="19"/>
    <n v="20"/>
    <x v="2"/>
    <s v="Exam Cell"/>
  </r>
  <r>
    <s v="FAC1066"/>
    <x v="60"/>
    <x v="1"/>
    <x v="3"/>
    <n v="5"/>
    <n v="2"/>
    <n v="13"/>
    <n v="6"/>
    <n v="19"/>
    <n v="20"/>
    <x v="2"/>
    <s v="Library Committee"/>
  </r>
  <r>
    <s v="FAC1067"/>
    <x v="61"/>
    <x v="0"/>
    <x v="1"/>
    <n v="5"/>
    <n v="4"/>
    <n v="15"/>
    <n v="4"/>
    <n v="19"/>
    <n v="20"/>
    <x v="2"/>
    <s v="None"/>
  </r>
  <r>
    <s v="FAC1068"/>
    <x v="46"/>
    <x v="8"/>
    <x v="2"/>
    <n v="24"/>
    <n v="2"/>
    <n v="17"/>
    <n v="0"/>
    <n v="17"/>
    <n v="18"/>
    <x v="2"/>
    <s v="Exam Cell"/>
  </r>
  <r>
    <s v="FAC1069"/>
    <x v="61"/>
    <x v="0"/>
    <x v="1"/>
    <n v="14"/>
    <n v="2"/>
    <n v="10"/>
    <n v="6"/>
    <n v="16"/>
    <n v="20"/>
    <x v="2"/>
    <s v="Sports Cell"/>
  </r>
  <r>
    <s v="FAC1070"/>
    <x v="62"/>
    <x v="2"/>
    <x v="2"/>
    <n v="6"/>
    <n v="4"/>
    <n v="16"/>
    <n v="1"/>
    <n v="17"/>
    <n v="18"/>
    <x v="2"/>
    <s v="Library Committee"/>
  </r>
  <r>
    <s v="FAC1071"/>
    <x v="63"/>
    <x v="8"/>
    <x v="3"/>
    <n v="27"/>
    <n v="2"/>
    <n v="11"/>
    <n v="3"/>
    <n v="14"/>
    <n v="20"/>
    <x v="2"/>
    <s v="Time Table Committee"/>
  </r>
  <r>
    <s v="FAC1072"/>
    <x v="64"/>
    <x v="8"/>
    <x v="3"/>
    <n v="8"/>
    <n v="2"/>
    <n v="9"/>
    <n v="0"/>
    <n v="9"/>
    <n v="20"/>
    <x v="2"/>
    <s v="Exam Cell"/>
  </r>
  <r>
    <s v="FAC1073"/>
    <x v="65"/>
    <x v="5"/>
    <x v="0"/>
    <n v="8"/>
    <n v="2"/>
    <n v="8"/>
    <n v="1"/>
    <n v="9"/>
    <n v="20"/>
    <x v="2"/>
    <s v="None"/>
  </r>
  <r>
    <s v="FAC1074"/>
    <x v="37"/>
    <x v="3"/>
    <x v="4"/>
    <n v="29"/>
    <n v="2"/>
    <n v="18"/>
    <n v="4"/>
    <n v="22"/>
    <n v="20"/>
    <x v="0"/>
    <s v="Research Cell"/>
  </r>
  <r>
    <s v="FAC1075"/>
    <x v="66"/>
    <x v="8"/>
    <x v="3"/>
    <n v="2"/>
    <n v="3"/>
    <n v="18"/>
    <n v="5"/>
    <n v="23"/>
    <n v="20"/>
    <x v="0"/>
    <s v="Sports Cell"/>
  </r>
  <r>
    <s v="FAC1076"/>
    <x v="51"/>
    <x v="8"/>
    <x v="4"/>
    <n v="16"/>
    <n v="2"/>
    <n v="11"/>
    <n v="2"/>
    <n v="13"/>
    <n v="20"/>
    <x v="2"/>
    <s v="Sports Cell"/>
  </r>
  <r>
    <s v="FAC1077"/>
    <x v="67"/>
    <x v="2"/>
    <x v="0"/>
    <n v="9"/>
    <n v="2"/>
    <n v="13"/>
    <n v="5"/>
    <n v="18"/>
    <n v="20"/>
    <x v="2"/>
    <s v="None"/>
  </r>
  <r>
    <s v="FAC1078"/>
    <x v="68"/>
    <x v="8"/>
    <x v="3"/>
    <n v="2"/>
    <n v="1"/>
    <n v="11"/>
    <n v="6"/>
    <n v="17"/>
    <n v="20"/>
    <x v="2"/>
    <s v="None"/>
  </r>
  <r>
    <s v="FAC1079"/>
    <x v="18"/>
    <x v="5"/>
    <x v="4"/>
    <n v="24"/>
    <n v="1"/>
    <n v="15"/>
    <n v="1"/>
    <n v="16"/>
    <n v="20"/>
    <x v="2"/>
    <s v="None"/>
  </r>
  <r>
    <s v="FAC1080"/>
    <x v="34"/>
    <x v="0"/>
    <x v="3"/>
    <n v="12"/>
    <n v="3"/>
    <n v="12"/>
    <n v="2"/>
    <n v="14"/>
    <n v="20"/>
    <x v="2"/>
    <s v="Library Committee"/>
  </r>
  <r>
    <s v="FAC1081"/>
    <x v="44"/>
    <x v="1"/>
    <x v="2"/>
    <n v="14"/>
    <n v="1"/>
    <n v="17"/>
    <n v="6"/>
    <n v="23"/>
    <n v="18"/>
    <x v="0"/>
    <s v="Sports Cell"/>
  </r>
  <r>
    <s v="FAC1082"/>
    <x v="69"/>
    <x v="1"/>
    <x v="2"/>
    <n v="13"/>
    <n v="2"/>
    <n v="15"/>
    <n v="4"/>
    <n v="19"/>
    <n v="18"/>
    <x v="0"/>
    <s v="Library Committee"/>
  </r>
  <r>
    <s v="FAC1083"/>
    <x v="70"/>
    <x v="3"/>
    <x v="4"/>
    <n v="24"/>
    <n v="4"/>
    <n v="10"/>
    <n v="4"/>
    <n v="14"/>
    <n v="20"/>
    <x v="2"/>
    <s v="Exam Cell"/>
  </r>
  <r>
    <s v="FAC1084"/>
    <x v="71"/>
    <x v="2"/>
    <x v="4"/>
    <n v="23"/>
    <n v="2"/>
    <n v="8"/>
    <n v="1"/>
    <n v="9"/>
    <n v="20"/>
    <x v="2"/>
    <s v="Library Committee"/>
  </r>
  <r>
    <s v="FAC1085"/>
    <x v="72"/>
    <x v="5"/>
    <x v="1"/>
    <n v="18"/>
    <n v="4"/>
    <n v="8"/>
    <n v="0"/>
    <n v="8"/>
    <n v="20"/>
    <x v="2"/>
    <s v="Sports Cell"/>
  </r>
  <r>
    <s v="FAC1086"/>
    <x v="73"/>
    <x v="6"/>
    <x v="3"/>
    <n v="8"/>
    <n v="2"/>
    <n v="17"/>
    <n v="4"/>
    <n v="21"/>
    <n v="20"/>
    <x v="0"/>
    <s v="None"/>
  </r>
  <r>
    <s v="FAC1087"/>
    <x v="74"/>
    <x v="1"/>
    <x v="4"/>
    <n v="22"/>
    <n v="1"/>
    <n v="18"/>
    <n v="6"/>
    <n v="24"/>
    <n v="20"/>
    <x v="0"/>
    <s v="Sports Cell"/>
  </r>
  <r>
    <s v="FAC1088"/>
    <x v="75"/>
    <x v="5"/>
    <x v="1"/>
    <n v="6"/>
    <n v="1"/>
    <n v="15"/>
    <n v="6"/>
    <n v="21"/>
    <n v="20"/>
    <x v="0"/>
    <s v="None"/>
  </r>
  <r>
    <s v="FAC1089"/>
    <x v="24"/>
    <x v="0"/>
    <x v="2"/>
    <n v="30"/>
    <n v="1"/>
    <n v="18"/>
    <n v="2"/>
    <n v="20"/>
    <n v="18"/>
    <x v="0"/>
    <s v="None"/>
  </r>
  <r>
    <s v="FAC1090"/>
    <x v="76"/>
    <x v="2"/>
    <x v="0"/>
    <n v="10"/>
    <n v="2"/>
    <n v="17"/>
    <n v="1"/>
    <n v="18"/>
    <n v="20"/>
    <x v="2"/>
    <s v="Research Cell"/>
  </r>
  <r>
    <s v="FAC1091"/>
    <x v="50"/>
    <x v="6"/>
    <x v="3"/>
    <n v="12"/>
    <n v="1"/>
    <n v="9"/>
    <n v="3"/>
    <n v="12"/>
    <n v="20"/>
    <x v="2"/>
    <s v="Sports Cell"/>
  </r>
  <r>
    <s v="FAC1092"/>
    <x v="77"/>
    <x v="4"/>
    <x v="0"/>
    <n v="8"/>
    <n v="3"/>
    <n v="16"/>
    <n v="3"/>
    <n v="19"/>
    <n v="20"/>
    <x v="2"/>
    <s v="None"/>
  </r>
  <r>
    <s v="FAC1093"/>
    <x v="65"/>
    <x v="6"/>
    <x v="1"/>
    <n v="5"/>
    <n v="4"/>
    <n v="18"/>
    <n v="1"/>
    <n v="19"/>
    <n v="20"/>
    <x v="2"/>
    <s v="Time Table Committee"/>
  </r>
  <r>
    <s v="FAC1094"/>
    <x v="78"/>
    <x v="0"/>
    <x v="2"/>
    <n v="4"/>
    <n v="2"/>
    <n v="9"/>
    <n v="1"/>
    <n v="10"/>
    <n v="18"/>
    <x v="2"/>
    <s v="Time Table Committee"/>
  </r>
  <r>
    <s v="FAC1095"/>
    <x v="36"/>
    <x v="6"/>
    <x v="3"/>
    <n v="26"/>
    <n v="3"/>
    <n v="14"/>
    <n v="0"/>
    <n v="14"/>
    <n v="20"/>
    <x v="2"/>
    <s v="None"/>
  </r>
  <r>
    <s v="FAC1096"/>
    <x v="79"/>
    <x v="2"/>
    <x v="0"/>
    <n v="5"/>
    <n v="3"/>
    <n v="12"/>
    <n v="2"/>
    <n v="14"/>
    <n v="20"/>
    <x v="2"/>
    <s v="None"/>
  </r>
  <r>
    <s v="FAC1097"/>
    <x v="80"/>
    <x v="0"/>
    <x v="1"/>
    <n v="9"/>
    <n v="2"/>
    <n v="18"/>
    <n v="3"/>
    <n v="21"/>
    <n v="20"/>
    <x v="0"/>
    <s v="Research Cell"/>
  </r>
  <r>
    <s v="FAC1098"/>
    <x v="81"/>
    <x v="8"/>
    <x v="2"/>
    <n v="13"/>
    <n v="3"/>
    <n v="15"/>
    <n v="2"/>
    <n v="17"/>
    <n v="18"/>
    <x v="2"/>
    <s v="None"/>
  </r>
  <r>
    <s v="FAC1099"/>
    <x v="82"/>
    <x v="2"/>
    <x v="0"/>
    <n v="10"/>
    <n v="4"/>
    <n v="17"/>
    <n v="6"/>
    <n v="23"/>
    <n v="20"/>
    <x v="0"/>
    <s v="Sports Cell"/>
  </r>
  <r>
    <s v="FAC1100"/>
    <x v="83"/>
    <x v="1"/>
    <x v="3"/>
    <n v="6"/>
    <n v="1"/>
    <n v="15"/>
    <n v="5"/>
    <n v="20"/>
    <n v="20"/>
    <x v="1"/>
    <s v="Sports Cell"/>
  </r>
  <r>
    <m/>
    <x v="84"/>
    <x v="9"/>
    <x v="5"/>
    <m/>
    <m/>
    <m/>
    <m/>
    <m/>
    <m/>
    <x v="3"/>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FC38612-83B5-4FCE-A3C3-2705DE3B6565}"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41" firstHeaderRow="1" firstDataRow="1" firstDataCol="1" rowPageCount="1" colPageCount="1"/>
  <pivotFields count="11">
    <pivotField showAll="0"/>
    <pivotField showAll="0">
      <items count="9">
        <item x="3"/>
        <item x="0"/>
        <item x="2"/>
        <item x="6"/>
        <item x="1"/>
        <item x="4"/>
        <item x="5"/>
        <item x="7"/>
        <item t="default"/>
      </items>
    </pivotField>
    <pivotField showAll="0"/>
    <pivotField axis="axisPage" showAll="0">
      <items count="11">
        <item x="1"/>
        <item x="4"/>
        <item x="0"/>
        <item x="3"/>
        <item x="6"/>
        <item x="8"/>
        <item x="7"/>
        <item x="2"/>
        <item x="5"/>
        <item x="9"/>
        <item t="default"/>
      </items>
    </pivotField>
    <pivotField showAll="0"/>
    <pivotField axis="axisRow" showAll="0">
      <items count="38">
        <item x="13"/>
        <item x="0"/>
        <item x="30"/>
        <item x="22"/>
        <item x="2"/>
        <item x="21"/>
        <item x="8"/>
        <item x="10"/>
        <item x="29"/>
        <item x="31"/>
        <item x="32"/>
        <item x="19"/>
        <item x="14"/>
        <item x="3"/>
        <item x="5"/>
        <item x="1"/>
        <item x="12"/>
        <item x="9"/>
        <item x="18"/>
        <item x="11"/>
        <item x="24"/>
        <item x="6"/>
        <item x="33"/>
        <item x="4"/>
        <item x="16"/>
        <item x="35"/>
        <item x="20"/>
        <item x="15"/>
        <item x="23"/>
        <item x="17"/>
        <item x="26"/>
        <item x="27"/>
        <item x="28"/>
        <item x="7"/>
        <item x="25"/>
        <item x="34"/>
        <item x="36"/>
        <item t="default"/>
      </items>
    </pivotField>
    <pivotField showAll="0"/>
    <pivotField showAll="0"/>
    <pivotField showAll="0"/>
    <pivotField dataField="1" showAll="0"/>
    <pivotField showAll="0">
      <items count="4">
        <item x="0"/>
        <item x="1"/>
        <item x="2"/>
        <item t="default"/>
      </items>
    </pivotField>
  </pivotFields>
  <rowFields count="1">
    <field x="5"/>
  </rowFields>
  <rowItems count="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t="grand">
      <x/>
    </i>
  </rowItems>
  <colItems count="1">
    <i/>
  </colItems>
  <pageFields count="1">
    <pageField fld="3" hier="-1"/>
  </pageFields>
  <dataFields count="1">
    <dataField name="Sum of Duration (hrs)" fld="9"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0C2B250-40F9-4030-8B8F-4CE959D6BB02}"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18" firstHeaderRow="1" firstDataRow="1" firstDataCol="1" rowPageCount="1" colPageCount="1"/>
  <pivotFields count="12">
    <pivotField showAll="0"/>
    <pivotField axis="axisRow" showAll="0">
      <items count="86">
        <item x="76"/>
        <item x="78"/>
        <item x="71"/>
        <item x="13"/>
        <item x="21"/>
        <item x="73"/>
        <item x="40"/>
        <item x="7"/>
        <item x="70"/>
        <item x="31"/>
        <item x="38"/>
        <item x="25"/>
        <item x="23"/>
        <item x="66"/>
        <item x="55"/>
        <item x="82"/>
        <item x="45"/>
        <item x="50"/>
        <item x="48"/>
        <item x="58"/>
        <item x="18"/>
        <item x="27"/>
        <item x="34"/>
        <item x="53"/>
        <item x="81"/>
        <item x="69"/>
        <item x="16"/>
        <item x="60"/>
        <item x="19"/>
        <item x="59"/>
        <item x="75"/>
        <item x="65"/>
        <item x="29"/>
        <item x="4"/>
        <item x="14"/>
        <item x="26"/>
        <item x="6"/>
        <item x="15"/>
        <item x="80"/>
        <item x="1"/>
        <item x="42"/>
        <item x="67"/>
        <item x="22"/>
        <item x="83"/>
        <item x="36"/>
        <item x="37"/>
        <item x="30"/>
        <item x="79"/>
        <item x="64"/>
        <item x="68"/>
        <item x="54"/>
        <item x="61"/>
        <item x="32"/>
        <item x="43"/>
        <item x="28"/>
        <item x="44"/>
        <item x="8"/>
        <item x="57"/>
        <item x="77"/>
        <item x="2"/>
        <item x="10"/>
        <item x="5"/>
        <item x="63"/>
        <item x="49"/>
        <item x="72"/>
        <item x="74"/>
        <item x="9"/>
        <item x="56"/>
        <item x="62"/>
        <item x="17"/>
        <item x="52"/>
        <item x="0"/>
        <item x="24"/>
        <item x="33"/>
        <item x="41"/>
        <item x="47"/>
        <item x="20"/>
        <item x="3"/>
        <item x="46"/>
        <item x="39"/>
        <item x="35"/>
        <item x="51"/>
        <item x="12"/>
        <item x="11"/>
        <item x="84"/>
        <item t="default"/>
      </items>
    </pivotField>
    <pivotField name="Department" axis="axisPage" showAll="0">
      <items count="11">
        <item x="1"/>
        <item x="5"/>
        <item x="6"/>
        <item x="4"/>
        <item x="3"/>
        <item x="0"/>
        <item x="8"/>
        <item x="2"/>
        <item x="7"/>
        <item x="9"/>
        <item t="default"/>
      </items>
    </pivotField>
    <pivotField showAll="0">
      <items count="7">
        <item h="1" x="1"/>
        <item h="1" x="4"/>
        <item x="3"/>
        <item h="1" x="2"/>
        <item h="1" x="0"/>
        <item h="1" x="5"/>
        <item t="default"/>
      </items>
    </pivotField>
    <pivotField showAll="0"/>
    <pivotField showAll="0"/>
    <pivotField showAll="0"/>
    <pivotField showAll="0"/>
    <pivotField dataField="1" showAll="0"/>
    <pivotField showAll="0"/>
    <pivotField showAll="0">
      <items count="5">
        <item h="1" x="1"/>
        <item h="1" x="0"/>
        <item x="2"/>
        <item h="1" x="3"/>
        <item t="default"/>
      </items>
    </pivotField>
    <pivotField showAll="0"/>
  </pivotFields>
  <rowFields count="1">
    <field x="1"/>
  </rowFields>
  <rowItems count="15">
    <i>
      <x v="17"/>
    </i>
    <i>
      <x v="18"/>
    </i>
    <i>
      <x v="22"/>
    </i>
    <i>
      <x v="27"/>
    </i>
    <i>
      <x v="44"/>
    </i>
    <i>
      <x v="48"/>
    </i>
    <i>
      <x v="49"/>
    </i>
    <i>
      <x v="53"/>
    </i>
    <i>
      <x v="56"/>
    </i>
    <i>
      <x v="62"/>
    </i>
    <i>
      <x v="63"/>
    </i>
    <i>
      <x v="66"/>
    </i>
    <i>
      <x v="74"/>
    </i>
    <i>
      <x v="76"/>
    </i>
    <i t="grand">
      <x/>
    </i>
  </rowItems>
  <colItems count="1">
    <i/>
  </colItems>
  <pageFields count="1">
    <pageField fld="2" hier="-1"/>
  </pageFields>
  <dataFields count="1">
    <dataField name="Sum of Total Contact Hours" fld="8"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 xr10:uid="{AA4DB8D6-33B4-4B51-80C9-C66A032091EA}" sourceName="Day">
  <pivotTables>
    <pivotTable tabId="5" name="PivotTable1"/>
  </pivotTables>
  <data>
    <tabular pivotCacheId="1130171036">
      <items count="8">
        <i x="3" s="1"/>
        <i x="0" s="1"/>
        <i x="2" s="1"/>
        <i x="6" s="1"/>
        <i x="1" s="1"/>
        <i x="4" s="1"/>
        <i x="5" s="1"/>
        <i x="7"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ignation" xr10:uid="{E0BD70E3-B800-4018-A842-D8848918F7EB}" sourceName="Designation">
  <pivotTables>
    <pivotTable tabId="7" name="PivotTable3"/>
  </pivotTables>
  <data>
    <tabular pivotCacheId="265732753">
      <items count="6">
        <i x="1"/>
        <i x="4"/>
        <i x="3" s="1"/>
        <i x="2"/>
        <i x="0"/>
        <i x="5"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orkload_Status" xr10:uid="{27907362-073E-4852-8ED8-87BB6637E9A8}" sourceName="Workload Status">
  <pivotTables>
    <pivotTable tabId="7" name="PivotTable3"/>
  </pivotTables>
  <data>
    <tabular pivotCacheId="265732753">
      <items count="4">
        <i x="1"/>
        <i x="0"/>
        <i x="2" s="1"/>
        <i x="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y" xr10:uid="{3FA631D6-4EAB-4320-8C16-91C6C1DFB2DF}" cache="Slicer_Day" caption="Da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signation" xr10:uid="{A87E441C-1BFB-4C27-BEC1-F7029F2AE996}" cache="Slicer_Designation" caption="Designation" rowHeight="234950"/>
  <slicer name="Workload Status" xr10:uid="{444BCFF8-A5C7-4EEA-8D34-8DB1630E3A14}" cache="Slicer_Workload_Status" caption="Workload Status"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y 1" xr10:uid="{264BE991-97D8-49CD-A207-2D5FC6F3DE82}" cache="Slicer_Day" caption="Day" rowHeight="234950"/>
  <slicer name="Designation 1" xr10:uid="{20D08794-30FD-4EC3-972B-719658804FAE}" cache="Slicer_Designation" caption="Designation" rowHeight="234950"/>
  <slicer name="Workload Status 1" xr10:uid="{72358261-82FB-45A4-ABDF-1EBCF16D4DD7}" cache="Slicer_Workload_Status" caption="Workload Status"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030FB-BE27-49D9-ACBD-7EFC95E11B0F}">
  <dimension ref="A1:V37"/>
  <sheetViews>
    <sheetView showGridLines="0" tabSelected="1" workbookViewId="0">
      <selection activeCell="A7" sqref="A7:R9"/>
    </sheetView>
  </sheetViews>
  <sheetFormatPr defaultRowHeight="14.4" x14ac:dyDescent="0.3"/>
  <sheetData>
    <row r="1" spans="1:22" x14ac:dyDescent="0.3">
      <c r="A1" s="19" t="s">
        <v>479</v>
      </c>
      <c r="B1" s="19"/>
      <c r="C1" s="19"/>
      <c r="D1" s="19"/>
      <c r="E1" s="19"/>
      <c r="F1" s="19"/>
      <c r="G1" s="19"/>
      <c r="H1" s="19"/>
      <c r="I1" s="19"/>
      <c r="J1" s="19"/>
      <c r="K1" s="19"/>
      <c r="L1" s="19"/>
      <c r="M1" s="19"/>
      <c r="N1" s="19"/>
      <c r="O1" s="19"/>
      <c r="P1" s="19"/>
      <c r="Q1" s="19"/>
      <c r="R1" s="19"/>
    </row>
    <row r="2" spans="1:22" x14ac:dyDescent="0.3">
      <c r="A2" s="19"/>
      <c r="B2" s="19"/>
      <c r="C2" s="19"/>
      <c r="D2" s="19"/>
      <c r="E2" s="19"/>
      <c r="F2" s="19"/>
      <c r="G2" s="19"/>
      <c r="H2" s="19"/>
      <c r="I2" s="19"/>
      <c r="J2" s="19"/>
      <c r="K2" s="19"/>
      <c r="L2" s="19"/>
      <c r="M2" s="19"/>
      <c r="N2" s="19"/>
      <c r="O2" s="19"/>
      <c r="P2" s="19"/>
      <c r="Q2" s="19"/>
      <c r="R2" s="19"/>
    </row>
    <row r="3" spans="1:22" x14ac:dyDescent="0.3">
      <c r="A3" s="19"/>
      <c r="B3" s="19"/>
      <c r="C3" s="19"/>
      <c r="D3" s="19"/>
      <c r="E3" s="19"/>
      <c r="F3" s="19"/>
      <c r="G3" s="19"/>
      <c r="H3" s="19"/>
      <c r="I3" s="19"/>
      <c r="J3" s="19"/>
      <c r="K3" s="19"/>
      <c r="L3" s="19"/>
      <c r="M3" s="19"/>
      <c r="N3" s="19"/>
      <c r="O3" s="19"/>
      <c r="P3" s="19"/>
      <c r="Q3" s="19"/>
      <c r="R3" s="19"/>
    </row>
    <row r="4" spans="1:22" x14ac:dyDescent="0.3">
      <c r="A4" s="19"/>
      <c r="B4" s="19"/>
      <c r="C4" s="19"/>
      <c r="D4" s="19"/>
      <c r="E4" s="19"/>
      <c r="F4" s="19"/>
      <c r="G4" s="19"/>
      <c r="H4" s="19"/>
      <c r="I4" s="19"/>
      <c r="J4" s="19"/>
      <c r="K4" s="19"/>
      <c r="L4" s="19"/>
      <c r="M4" s="19"/>
      <c r="N4" s="19"/>
      <c r="O4" s="19"/>
      <c r="P4" s="19"/>
      <c r="Q4" s="19"/>
      <c r="R4" s="19"/>
    </row>
    <row r="5" spans="1:22" x14ac:dyDescent="0.3">
      <c r="A5" s="19"/>
      <c r="B5" s="19"/>
      <c r="C5" s="19"/>
      <c r="D5" s="19"/>
      <c r="E5" s="19"/>
      <c r="F5" s="19"/>
      <c r="G5" s="19"/>
      <c r="H5" s="19"/>
      <c r="I5" s="19"/>
      <c r="J5" s="19"/>
      <c r="K5" s="19"/>
      <c r="L5" s="19"/>
      <c r="M5" s="19"/>
      <c r="N5" s="19"/>
      <c r="O5" s="19"/>
      <c r="P5" s="19"/>
      <c r="Q5" s="19"/>
      <c r="R5" s="19"/>
      <c r="V5" s="14"/>
    </row>
    <row r="7" spans="1:22" x14ac:dyDescent="0.3">
      <c r="A7" s="20" t="s">
        <v>480</v>
      </c>
      <c r="B7" s="20"/>
      <c r="C7" s="20"/>
      <c r="D7" s="20"/>
      <c r="E7" s="20"/>
      <c r="F7" s="20"/>
      <c r="G7" s="20"/>
      <c r="H7" s="20"/>
      <c r="I7" s="20"/>
      <c r="J7" s="20"/>
      <c r="K7" s="20"/>
      <c r="L7" s="20"/>
      <c r="M7" s="20"/>
      <c r="N7" s="20"/>
      <c r="O7" s="20"/>
      <c r="P7" s="20"/>
      <c r="Q7" s="20"/>
      <c r="R7" s="20"/>
    </row>
    <row r="8" spans="1:22" x14ac:dyDescent="0.3">
      <c r="A8" s="20"/>
      <c r="B8" s="20"/>
      <c r="C8" s="20"/>
      <c r="D8" s="20"/>
      <c r="E8" s="20"/>
      <c r="F8" s="20"/>
      <c r="G8" s="20"/>
      <c r="H8" s="20"/>
      <c r="I8" s="20"/>
      <c r="J8" s="20"/>
      <c r="K8" s="20"/>
      <c r="L8" s="20"/>
      <c r="M8" s="20"/>
      <c r="N8" s="20"/>
      <c r="O8" s="20"/>
      <c r="P8" s="20"/>
      <c r="Q8" s="20"/>
      <c r="R8" s="20"/>
    </row>
    <row r="9" spans="1:22" x14ac:dyDescent="0.3">
      <c r="A9" s="20"/>
      <c r="B9" s="20"/>
      <c r="C9" s="20"/>
      <c r="D9" s="20"/>
      <c r="E9" s="20"/>
      <c r="F9" s="20"/>
      <c r="G9" s="20"/>
      <c r="H9" s="20"/>
      <c r="I9" s="20"/>
      <c r="J9" s="20"/>
      <c r="K9" s="20"/>
      <c r="L9" s="20"/>
      <c r="M9" s="20"/>
      <c r="N9" s="20"/>
      <c r="O9" s="20"/>
      <c r="P9" s="20"/>
      <c r="Q9" s="20"/>
      <c r="R9" s="20"/>
    </row>
    <row r="11" spans="1:22" x14ac:dyDescent="0.3">
      <c r="A11" s="20" t="s">
        <v>481</v>
      </c>
      <c r="B11" s="20"/>
      <c r="C11" s="20"/>
      <c r="D11" s="20"/>
      <c r="E11" s="20"/>
      <c r="F11" s="20"/>
      <c r="G11" s="20"/>
      <c r="H11" s="20"/>
      <c r="I11" s="20"/>
      <c r="J11" s="20"/>
      <c r="K11" s="20"/>
      <c r="L11" s="20"/>
      <c r="M11" s="20"/>
      <c r="N11" s="20"/>
      <c r="O11" s="20"/>
      <c r="P11" s="20"/>
      <c r="Q11" s="20"/>
      <c r="R11" s="20"/>
    </row>
    <row r="12" spans="1:22" x14ac:dyDescent="0.3">
      <c r="A12" s="20"/>
      <c r="B12" s="20"/>
      <c r="C12" s="20"/>
      <c r="D12" s="20"/>
      <c r="E12" s="20"/>
      <c r="F12" s="20"/>
      <c r="G12" s="20"/>
      <c r="H12" s="20"/>
      <c r="I12" s="20"/>
      <c r="J12" s="20"/>
      <c r="K12" s="20"/>
      <c r="L12" s="20"/>
      <c r="M12" s="20"/>
      <c r="N12" s="20"/>
      <c r="O12" s="20"/>
      <c r="P12" s="20"/>
      <c r="Q12" s="20"/>
      <c r="R12" s="20"/>
    </row>
    <row r="13" spans="1:22" x14ac:dyDescent="0.3">
      <c r="A13" s="20"/>
      <c r="B13" s="20"/>
      <c r="C13" s="20"/>
      <c r="D13" s="20"/>
      <c r="E13" s="20"/>
      <c r="F13" s="20"/>
      <c r="G13" s="20"/>
      <c r="H13" s="20"/>
      <c r="I13" s="20"/>
      <c r="J13" s="20"/>
      <c r="K13" s="20"/>
      <c r="L13" s="20"/>
      <c r="M13" s="20"/>
      <c r="N13" s="20"/>
      <c r="O13" s="20"/>
      <c r="P13" s="20"/>
      <c r="Q13" s="20"/>
      <c r="R13" s="20"/>
    </row>
    <row r="15" spans="1:22" x14ac:dyDescent="0.3">
      <c r="A15" s="17" t="s">
        <v>482</v>
      </c>
      <c r="B15" s="17"/>
      <c r="C15" s="17"/>
      <c r="D15" s="17"/>
      <c r="E15" s="17"/>
      <c r="F15" s="17"/>
      <c r="G15" s="17"/>
      <c r="H15" s="17"/>
      <c r="I15" s="17"/>
      <c r="J15" s="17"/>
      <c r="K15" s="17"/>
      <c r="L15" s="17"/>
      <c r="M15" s="17"/>
      <c r="N15" s="17"/>
      <c r="O15" s="17"/>
      <c r="P15" s="17"/>
      <c r="Q15" s="17"/>
      <c r="R15" s="17"/>
    </row>
    <row r="16" spans="1:22" x14ac:dyDescent="0.3">
      <c r="A16" s="17"/>
      <c r="B16" s="17"/>
      <c r="C16" s="17"/>
      <c r="D16" s="17"/>
      <c r="E16" s="17"/>
      <c r="F16" s="17"/>
      <c r="G16" s="17"/>
      <c r="H16" s="17"/>
      <c r="I16" s="17"/>
      <c r="J16" s="17"/>
      <c r="K16" s="17"/>
      <c r="L16" s="17"/>
      <c r="M16" s="17"/>
      <c r="N16" s="17"/>
      <c r="O16" s="17"/>
      <c r="P16" s="17"/>
      <c r="Q16" s="17"/>
      <c r="R16" s="17"/>
    </row>
    <row r="17" spans="1:18" x14ac:dyDescent="0.3">
      <c r="A17" s="17"/>
      <c r="B17" s="17"/>
      <c r="C17" s="17"/>
      <c r="D17" s="17"/>
      <c r="E17" s="17"/>
      <c r="F17" s="17"/>
      <c r="G17" s="17"/>
      <c r="H17" s="17"/>
      <c r="I17" s="17"/>
      <c r="J17" s="17"/>
      <c r="K17" s="17"/>
      <c r="L17" s="17"/>
      <c r="M17" s="17"/>
      <c r="N17" s="17"/>
      <c r="O17" s="17"/>
      <c r="P17" s="17"/>
      <c r="Q17" s="17"/>
      <c r="R17" s="17"/>
    </row>
    <row r="19" spans="1:18" x14ac:dyDescent="0.3">
      <c r="A19" s="17" t="s">
        <v>483</v>
      </c>
      <c r="B19" s="17"/>
      <c r="C19" s="17"/>
      <c r="D19" s="17"/>
      <c r="E19" s="17"/>
      <c r="F19" s="17"/>
      <c r="G19" s="17"/>
      <c r="H19" s="17"/>
      <c r="I19" s="17"/>
      <c r="J19" s="17"/>
      <c r="K19" s="17"/>
      <c r="L19" s="17"/>
      <c r="M19" s="17"/>
      <c r="N19" s="17"/>
      <c r="O19" s="17"/>
      <c r="P19" s="17"/>
      <c r="Q19" s="17"/>
      <c r="R19" s="17"/>
    </row>
    <row r="20" spans="1:18" x14ac:dyDescent="0.3">
      <c r="A20" s="17"/>
      <c r="B20" s="17"/>
      <c r="C20" s="17"/>
      <c r="D20" s="17"/>
      <c r="E20" s="17"/>
      <c r="F20" s="17"/>
      <c r="G20" s="17"/>
      <c r="H20" s="17"/>
      <c r="I20" s="17"/>
      <c r="J20" s="17"/>
      <c r="K20" s="17"/>
      <c r="L20" s="17"/>
      <c r="M20" s="17"/>
      <c r="N20" s="17"/>
      <c r="O20" s="17"/>
      <c r="P20" s="17"/>
      <c r="Q20" s="17"/>
      <c r="R20" s="17"/>
    </row>
    <row r="21" spans="1:18" x14ac:dyDescent="0.3">
      <c r="A21" s="17"/>
      <c r="B21" s="17"/>
      <c r="C21" s="17"/>
      <c r="D21" s="17"/>
      <c r="E21" s="17"/>
      <c r="F21" s="17"/>
      <c r="G21" s="17"/>
      <c r="H21" s="17"/>
      <c r="I21" s="17"/>
      <c r="J21" s="17"/>
      <c r="K21" s="17"/>
      <c r="L21" s="17"/>
      <c r="M21" s="17"/>
      <c r="N21" s="17"/>
      <c r="O21" s="17"/>
      <c r="P21" s="17"/>
      <c r="Q21" s="17"/>
      <c r="R21" s="17"/>
    </row>
    <row r="23" spans="1:18" x14ac:dyDescent="0.3">
      <c r="A23" s="17" t="s">
        <v>484</v>
      </c>
      <c r="B23" s="17"/>
      <c r="C23" s="17"/>
      <c r="D23" s="17"/>
      <c r="E23" s="17"/>
      <c r="F23" s="17"/>
      <c r="G23" s="17"/>
      <c r="H23" s="17"/>
      <c r="I23" s="17"/>
      <c r="J23" s="17"/>
      <c r="K23" s="17"/>
      <c r="L23" s="17"/>
      <c r="M23" s="17"/>
      <c r="N23" s="17"/>
      <c r="O23" s="17"/>
      <c r="P23" s="17"/>
      <c r="Q23" s="17"/>
      <c r="R23" s="17"/>
    </row>
    <row r="24" spans="1:18" x14ac:dyDescent="0.3">
      <c r="A24" s="17"/>
      <c r="B24" s="17"/>
      <c r="C24" s="17"/>
      <c r="D24" s="17"/>
      <c r="E24" s="17"/>
      <c r="F24" s="17"/>
      <c r="G24" s="17"/>
      <c r="H24" s="17"/>
      <c r="I24" s="17"/>
      <c r="J24" s="17"/>
      <c r="K24" s="17"/>
      <c r="L24" s="17"/>
      <c r="M24" s="17"/>
      <c r="N24" s="17"/>
      <c r="O24" s="17"/>
      <c r="P24" s="17"/>
      <c r="Q24" s="17"/>
      <c r="R24" s="17"/>
    </row>
    <row r="25" spans="1:18" x14ac:dyDescent="0.3">
      <c r="A25" s="17"/>
      <c r="B25" s="17"/>
      <c r="C25" s="17"/>
      <c r="D25" s="17"/>
      <c r="E25" s="17"/>
      <c r="F25" s="17"/>
      <c r="G25" s="17"/>
      <c r="H25" s="17"/>
      <c r="I25" s="17"/>
      <c r="J25" s="17"/>
      <c r="K25" s="17"/>
      <c r="L25" s="17"/>
      <c r="M25" s="17"/>
      <c r="N25" s="17"/>
      <c r="O25" s="17"/>
      <c r="P25" s="17"/>
      <c r="Q25" s="17"/>
      <c r="R25" s="17"/>
    </row>
    <row r="27" spans="1:18" x14ac:dyDescent="0.3">
      <c r="A27" s="17" t="s">
        <v>485</v>
      </c>
      <c r="B27" s="17"/>
      <c r="C27" s="17"/>
      <c r="D27" s="17"/>
      <c r="E27" s="17"/>
      <c r="F27" s="17"/>
      <c r="G27" s="17"/>
      <c r="H27" s="17"/>
      <c r="I27" s="17"/>
      <c r="J27" s="17"/>
      <c r="K27" s="17"/>
      <c r="L27" s="17"/>
      <c r="M27" s="17"/>
      <c r="N27" s="17"/>
      <c r="O27" s="17"/>
      <c r="P27" s="17"/>
      <c r="Q27" s="17"/>
      <c r="R27" s="17"/>
    </row>
    <row r="28" spans="1:18" x14ac:dyDescent="0.3">
      <c r="A28" s="17"/>
      <c r="B28" s="17"/>
      <c r="C28" s="17"/>
      <c r="D28" s="17"/>
      <c r="E28" s="17"/>
      <c r="F28" s="17"/>
      <c r="G28" s="17"/>
      <c r="H28" s="17"/>
      <c r="I28" s="17"/>
      <c r="J28" s="17"/>
      <c r="K28" s="17"/>
      <c r="L28" s="17"/>
      <c r="M28" s="17"/>
      <c r="N28" s="17"/>
      <c r="O28" s="17"/>
      <c r="P28" s="17"/>
      <c r="Q28" s="17"/>
      <c r="R28" s="17"/>
    </row>
    <row r="29" spans="1:18" x14ac:dyDescent="0.3">
      <c r="A29" s="17"/>
      <c r="B29" s="17"/>
      <c r="C29" s="17"/>
      <c r="D29" s="17"/>
      <c r="E29" s="17"/>
      <c r="F29" s="17"/>
      <c r="G29" s="17"/>
      <c r="H29" s="17"/>
      <c r="I29" s="17"/>
      <c r="J29" s="17"/>
      <c r="K29" s="17"/>
      <c r="L29" s="17"/>
      <c r="M29" s="17"/>
      <c r="N29" s="17"/>
      <c r="O29" s="17"/>
      <c r="P29" s="17"/>
      <c r="Q29" s="17"/>
      <c r="R29" s="17"/>
    </row>
    <row r="31" spans="1:18" x14ac:dyDescent="0.3">
      <c r="A31" s="17" t="s">
        <v>486</v>
      </c>
      <c r="B31" s="18"/>
      <c r="C31" s="18"/>
      <c r="D31" s="18"/>
      <c r="E31" s="18"/>
      <c r="F31" s="18"/>
      <c r="G31" s="18"/>
      <c r="H31" s="18"/>
      <c r="I31" s="18"/>
      <c r="J31" s="18"/>
      <c r="K31" s="18"/>
      <c r="L31" s="18"/>
      <c r="M31" s="18"/>
      <c r="N31" s="18"/>
      <c r="O31" s="18"/>
      <c r="P31" s="18"/>
      <c r="Q31" s="18"/>
      <c r="R31" s="18"/>
    </row>
    <row r="32" spans="1:18" x14ac:dyDescent="0.3">
      <c r="A32" s="18"/>
      <c r="B32" s="18"/>
      <c r="C32" s="18"/>
      <c r="D32" s="18"/>
      <c r="E32" s="18"/>
      <c r="F32" s="18"/>
      <c r="G32" s="18"/>
      <c r="H32" s="18"/>
      <c r="I32" s="18"/>
      <c r="J32" s="18"/>
      <c r="K32" s="18"/>
      <c r="L32" s="18"/>
      <c r="M32" s="18"/>
      <c r="N32" s="18"/>
      <c r="O32" s="18"/>
      <c r="P32" s="18"/>
      <c r="Q32" s="18"/>
      <c r="R32" s="18"/>
    </row>
    <row r="33" spans="1:18" x14ac:dyDescent="0.3">
      <c r="A33" s="18"/>
      <c r="B33" s="18"/>
      <c r="C33" s="18"/>
      <c r="D33" s="18"/>
      <c r="E33" s="18"/>
      <c r="F33" s="18"/>
      <c r="G33" s="18"/>
      <c r="H33" s="18"/>
      <c r="I33" s="18"/>
      <c r="J33" s="18"/>
      <c r="K33" s="18"/>
      <c r="L33" s="18"/>
      <c r="M33" s="18"/>
      <c r="N33" s="18"/>
      <c r="O33" s="18"/>
      <c r="P33" s="18"/>
      <c r="Q33" s="18"/>
      <c r="R33" s="18"/>
    </row>
    <row r="35" spans="1:18" x14ac:dyDescent="0.3">
      <c r="A35" s="17" t="s">
        <v>498</v>
      </c>
      <c r="B35" s="17"/>
      <c r="C35" s="17"/>
      <c r="D35" s="17"/>
      <c r="E35" s="17"/>
      <c r="F35" s="17"/>
      <c r="G35" s="17"/>
      <c r="H35" s="17"/>
      <c r="I35" s="17"/>
      <c r="J35" s="17"/>
      <c r="K35" s="17"/>
      <c r="L35" s="17"/>
      <c r="M35" s="17"/>
      <c r="N35" s="17"/>
      <c r="O35" s="17"/>
      <c r="P35" s="17"/>
      <c r="Q35" s="17"/>
      <c r="R35" s="17"/>
    </row>
    <row r="36" spans="1:18" x14ac:dyDescent="0.3">
      <c r="A36" s="17"/>
      <c r="B36" s="17"/>
      <c r="C36" s="17"/>
      <c r="D36" s="17"/>
      <c r="E36" s="17"/>
      <c r="F36" s="17"/>
      <c r="G36" s="17"/>
      <c r="H36" s="17"/>
      <c r="I36" s="17"/>
      <c r="J36" s="17"/>
      <c r="K36" s="17"/>
      <c r="L36" s="17"/>
      <c r="M36" s="17"/>
      <c r="N36" s="17"/>
      <c r="O36" s="17"/>
      <c r="P36" s="17"/>
      <c r="Q36" s="17"/>
      <c r="R36" s="17"/>
    </row>
    <row r="37" spans="1:18" x14ac:dyDescent="0.3">
      <c r="A37" s="17"/>
      <c r="B37" s="17"/>
      <c r="C37" s="17"/>
      <c r="D37" s="17"/>
      <c r="E37" s="17"/>
      <c r="F37" s="17"/>
      <c r="G37" s="17"/>
      <c r="H37" s="17"/>
      <c r="I37" s="17"/>
      <c r="J37" s="17"/>
      <c r="K37" s="17"/>
      <c r="L37" s="17"/>
      <c r="M37" s="17"/>
      <c r="N37" s="17"/>
      <c r="O37" s="17"/>
      <c r="P37" s="17"/>
      <c r="Q37" s="17"/>
      <c r="R37" s="17"/>
    </row>
  </sheetData>
  <mergeCells count="9">
    <mergeCell ref="A35:R37"/>
    <mergeCell ref="A31:R33"/>
    <mergeCell ref="A27:R29"/>
    <mergeCell ref="A1:R5"/>
    <mergeCell ref="A7:R9"/>
    <mergeCell ref="A11:R13"/>
    <mergeCell ref="A15:R17"/>
    <mergeCell ref="A19:R21"/>
    <mergeCell ref="A23:R25"/>
  </mergeCells>
  <hyperlinks>
    <hyperlink ref="A7:R9" location="Timetable_Schedule!A1" display="1. Raw data of Timetable Schedule" xr:uid="{CCC494E6-2983-48C7-A245-28BAED2CEAF1}"/>
    <hyperlink ref="A11:R13" location="Faculty_Workload!A1" display="2. Raw data of Faculty Workload" xr:uid="{0B3F81DC-423F-45A9-8819-711DA9391089}"/>
    <hyperlink ref="A15:R17" location="Clean_Timetable_Schedule!A1" display="3. Clean data of Timetable Schedule" xr:uid="{9A9826D5-E771-42FA-9F64-2FC250742661}"/>
    <hyperlink ref="A19:R21" location="Clean_Faculty_Workload!A1" display="4. Clean data of Faculty Workload" xr:uid="{39CD16D5-BFAC-4409-ACCC-8F8DDAE7D6EA}"/>
    <hyperlink ref="A23:R25" location="Timetable_Pivot!A1" display="5. Timetable Pivot Table" xr:uid="{85D6CDEB-F089-4974-8FB6-49324E9FF653}"/>
    <hyperlink ref="A27:R29" location="Faculty_Pivot!A1" display="6. Faculty Pivot Table" xr:uid="{1E8E03B1-4FCC-449C-AD84-303E85AF6131}"/>
    <hyperlink ref="A31:R33" location="Dashboard!A1" display="7. Dashboard" xr:uid="{5EFC3C0D-301E-436E-84AF-F55E3B5CFD0C}"/>
    <hyperlink ref="A1:R5" location="Index!A1" display="Links for navigation to all sheets in this workbook" xr:uid="{B956DA66-6BF4-4DE2-AFAC-427E6B0B682C}"/>
    <hyperlink ref="A35:R37" location="'Data Cleaning'!A1" display="8. Data Cleaning" xr:uid="{27ECBBFE-D381-4A90-87F2-9A72024EE64E}"/>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0AFBD-3B5E-450B-A7C5-80B32C1D003D}">
  <dimension ref="G3:I7"/>
  <sheetViews>
    <sheetView showGridLines="0" workbookViewId="0"/>
  </sheetViews>
  <sheetFormatPr defaultRowHeight="14.4" x14ac:dyDescent="0.3"/>
  <cols>
    <col min="7" max="7" width="20.88671875" bestFit="1" customWidth="1"/>
    <col min="8" max="8" width="36.44140625" bestFit="1" customWidth="1"/>
    <col min="9" max="9" width="16.6640625" bestFit="1" customWidth="1"/>
  </cols>
  <sheetData>
    <row r="3" spans="7:9" x14ac:dyDescent="0.3">
      <c r="G3" s="24" t="s">
        <v>497</v>
      </c>
      <c r="H3" s="25"/>
      <c r="I3" s="26"/>
    </row>
    <row r="4" spans="7:9" x14ac:dyDescent="0.3">
      <c r="G4" s="27"/>
      <c r="H4" s="23"/>
      <c r="I4" s="28"/>
    </row>
    <row r="5" spans="7:9" x14ac:dyDescent="0.3">
      <c r="G5" s="32" t="s">
        <v>494</v>
      </c>
      <c r="H5" s="32" t="s">
        <v>488</v>
      </c>
      <c r="I5" s="29" t="s">
        <v>489</v>
      </c>
    </row>
    <row r="6" spans="7:9" x14ac:dyDescent="0.3">
      <c r="G6" s="33" t="s">
        <v>495</v>
      </c>
      <c r="H6" s="35" t="s">
        <v>490</v>
      </c>
      <c r="I6" s="30" t="s">
        <v>491</v>
      </c>
    </row>
    <row r="7" spans="7:9" x14ac:dyDescent="0.3">
      <c r="G7" s="34" t="s">
        <v>496</v>
      </c>
      <c r="H7" s="36" t="s">
        <v>492</v>
      </c>
      <c r="I7" s="31" t="s">
        <v>493</v>
      </c>
    </row>
  </sheetData>
  <mergeCells count="1">
    <mergeCell ref="G3:I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07"/>
  <sheetViews>
    <sheetView workbookViewId="0"/>
  </sheetViews>
  <sheetFormatPr defaultRowHeight="14.4" x14ac:dyDescent="0.3"/>
  <cols>
    <col min="1" max="1" width="10" customWidth="1"/>
    <col min="2" max="2" width="12" customWidth="1"/>
    <col min="3" max="5" width="14" customWidth="1"/>
    <col min="6" max="6" width="28" customWidth="1"/>
    <col min="7" max="7" width="12" customWidth="1"/>
    <col min="8" max="9" width="10" customWidth="1"/>
    <col min="10" max="10" width="16" customWidth="1"/>
    <col min="11" max="11" width="6.77734375" bestFit="1" customWidth="1"/>
    <col min="12" max="12" width="14"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2" t="s">
        <v>13</v>
      </c>
      <c r="C2" s="2" t="s">
        <v>14</v>
      </c>
      <c r="D2" s="2" t="s">
        <v>15</v>
      </c>
      <c r="E2" s="2" t="s">
        <v>16</v>
      </c>
      <c r="F2" s="2" t="s">
        <v>17</v>
      </c>
      <c r="G2" s="2" t="s">
        <v>18</v>
      </c>
      <c r="H2" s="2">
        <v>1</v>
      </c>
      <c r="I2" s="2" t="s">
        <v>19</v>
      </c>
      <c r="J2" s="2">
        <v>1</v>
      </c>
      <c r="K2" s="2" t="s">
        <v>20</v>
      </c>
      <c r="L2" s="2"/>
    </row>
    <row r="3" spans="1:12" x14ac:dyDescent="0.3">
      <c r="A3" s="3" t="s">
        <v>22</v>
      </c>
      <c r="B3" s="3" t="s">
        <v>23</v>
      </c>
      <c r="C3" s="3" t="s">
        <v>14</v>
      </c>
      <c r="D3" s="3" t="s">
        <v>24</v>
      </c>
      <c r="E3" s="3" t="s">
        <v>25</v>
      </c>
      <c r="F3" s="3" t="s">
        <v>26</v>
      </c>
      <c r="G3" s="3" t="s">
        <v>27</v>
      </c>
      <c r="H3" s="3">
        <v>4</v>
      </c>
      <c r="I3" s="2" t="s">
        <v>77</v>
      </c>
      <c r="J3" s="3">
        <v>2</v>
      </c>
      <c r="K3" s="3" t="s">
        <v>21</v>
      </c>
      <c r="L3" s="3"/>
    </row>
    <row r="4" spans="1:12" x14ac:dyDescent="0.3">
      <c r="A4" s="2" t="s">
        <v>29</v>
      </c>
      <c r="B4" s="2" t="s">
        <v>30</v>
      </c>
      <c r="C4" s="2" t="s">
        <v>31</v>
      </c>
      <c r="D4" s="2" t="s">
        <v>32</v>
      </c>
      <c r="E4" s="2" t="s">
        <v>33</v>
      </c>
      <c r="F4" s="2" t="s">
        <v>34</v>
      </c>
      <c r="G4" s="2" t="s">
        <v>35</v>
      </c>
      <c r="H4" s="2">
        <v>7</v>
      </c>
      <c r="I4" s="2" t="s">
        <v>19</v>
      </c>
      <c r="J4" s="2">
        <v>1</v>
      </c>
      <c r="K4" s="2" t="s">
        <v>20</v>
      </c>
      <c r="L4" s="2"/>
    </row>
    <row r="5" spans="1:12" x14ac:dyDescent="0.3">
      <c r="A5" s="3" t="s">
        <v>36</v>
      </c>
      <c r="B5" s="3" t="s">
        <v>23</v>
      </c>
      <c r="C5" s="3" t="s">
        <v>37</v>
      </c>
      <c r="D5" s="3" t="s">
        <v>38</v>
      </c>
      <c r="E5" s="3" t="s">
        <v>39</v>
      </c>
      <c r="F5" s="3" t="s">
        <v>40</v>
      </c>
      <c r="G5" s="3" t="s">
        <v>41</v>
      </c>
      <c r="H5" s="3">
        <v>4</v>
      </c>
      <c r="I5" s="2" t="s">
        <v>48</v>
      </c>
      <c r="J5" s="3">
        <v>1</v>
      </c>
      <c r="K5" s="3" t="s">
        <v>20</v>
      </c>
      <c r="L5" s="3"/>
    </row>
    <row r="6" spans="1:12" x14ac:dyDescent="0.3">
      <c r="A6" s="2" t="s">
        <v>42</v>
      </c>
      <c r="B6" s="2" t="s">
        <v>43</v>
      </c>
      <c r="C6" s="2" t="s">
        <v>44</v>
      </c>
      <c r="D6" s="2" t="s">
        <v>38</v>
      </c>
      <c r="E6" s="2" t="s">
        <v>45</v>
      </c>
      <c r="F6" s="2" t="s">
        <v>46</v>
      </c>
      <c r="G6" s="2" t="s">
        <v>47</v>
      </c>
      <c r="H6" s="2">
        <v>6</v>
      </c>
      <c r="I6" s="2" t="s">
        <v>19</v>
      </c>
      <c r="J6" s="2">
        <v>2</v>
      </c>
      <c r="K6" s="2" t="s">
        <v>21</v>
      </c>
      <c r="L6" s="2"/>
    </row>
    <row r="7" spans="1:12" x14ac:dyDescent="0.3">
      <c r="A7" s="3" t="s">
        <v>49</v>
      </c>
      <c r="B7" s="3" t="s">
        <v>23</v>
      </c>
      <c r="C7" s="3" t="s">
        <v>14</v>
      </c>
      <c r="D7" s="3" t="s">
        <v>15</v>
      </c>
      <c r="E7" s="3" t="s">
        <v>50</v>
      </c>
      <c r="F7" s="3" t="s">
        <v>51</v>
      </c>
      <c r="G7" s="3" t="s">
        <v>47</v>
      </c>
      <c r="H7" s="3">
        <v>4</v>
      </c>
      <c r="I7" s="2" t="s">
        <v>28</v>
      </c>
      <c r="J7" s="3">
        <v>2</v>
      </c>
      <c r="K7" s="3" t="s">
        <v>21</v>
      </c>
      <c r="L7" s="3"/>
    </row>
    <row r="8" spans="1:12" x14ac:dyDescent="0.3">
      <c r="A8" s="2" t="s">
        <v>52</v>
      </c>
      <c r="B8" s="2" t="s">
        <v>30</v>
      </c>
      <c r="C8" s="2" t="s">
        <v>37</v>
      </c>
      <c r="D8" s="2" t="s">
        <v>53</v>
      </c>
      <c r="E8" s="2" t="s">
        <v>54</v>
      </c>
      <c r="F8" s="2" t="s">
        <v>55</v>
      </c>
      <c r="G8" s="2" t="s">
        <v>56</v>
      </c>
      <c r="H8" s="2">
        <v>7</v>
      </c>
      <c r="I8" s="2" t="s">
        <v>28</v>
      </c>
      <c r="J8" s="2">
        <v>1</v>
      </c>
      <c r="K8" s="2" t="s">
        <v>20</v>
      </c>
      <c r="L8" s="2"/>
    </row>
    <row r="9" spans="1:12" x14ac:dyDescent="0.3">
      <c r="A9" s="3" t="s">
        <v>57</v>
      </c>
      <c r="B9" s="3" t="s">
        <v>58</v>
      </c>
      <c r="C9" s="3" t="s">
        <v>44</v>
      </c>
      <c r="D9" s="3" t="s">
        <v>32</v>
      </c>
      <c r="E9" s="3" t="s">
        <v>59</v>
      </c>
      <c r="F9" s="3" t="s">
        <v>60</v>
      </c>
      <c r="G9" s="3" t="s">
        <v>61</v>
      </c>
      <c r="H9" s="3">
        <v>3</v>
      </c>
      <c r="I9" s="2" t="s">
        <v>19</v>
      </c>
      <c r="J9" s="3">
        <v>1</v>
      </c>
      <c r="K9" s="3" t="s">
        <v>20</v>
      </c>
      <c r="L9" s="3"/>
    </row>
    <row r="10" spans="1:12" x14ac:dyDescent="0.3">
      <c r="A10" s="2" t="s">
        <v>62</v>
      </c>
      <c r="B10" s="2" t="s">
        <v>58</v>
      </c>
      <c r="C10" s="2" t="s">
        <v>44</v>
      </c>
      <c r="D10" s="2" t="s">
        <v>15</v>
      </c>
      <c r="E10" s="2" t="s">
        <v>63</v>
      </c>
      <c r="F10" s="2" t="s">
        <v>64</v>
      </c>
      <c r="G10" s="2" t="s">
        <v>65</v>
      </c>
      <c r="H10" s="2">
        <v>8</v>
      </c>
      <c r="I10" s="2" t="s">
        <v>77</v>
      </c>
      <c r="J10" s="2">
        <v>2</v>
      </c>
      <c r="K10" s="2" t="s">
        <v>21</v>
      </c>
      <c r="L10" s="2"/>
    </row>
    <row r="11" spans="1:12" x14ac:dyDescent="0.3">
      <c r="A11" s="3" t="s">
        <v>66</v>
      </c>
      <c r="B11" s="3" t="s">
        <v>30</v>
      </c>
      <c r="C11" s="3" t="s">
        <v>44</v>
      </c>
      <c r="D11" s="3" t="s">
        <v>38</v>
      </c>
      <c r="E11" s="3" t="s">
        <v>67</v>
      </c>
      <c r="F11" s="3" t="s">
        <v>68</v>
      </c>
      <c r="G11" s="3" t="s">
        <v>47</v>
      </c>
      <c r="H11" s="3">
        <v>3</v>
      </c>
      <c r="I11" s="2" t="s">
        <v>19</v>
      </c>
      <c r="J11" s="3">
        <v>2</v>
      </c>
      <c r="K11" s="3" t="s">
        <v>21</v>
      </c>
      <c r="L11" s="3"/>
    </row>
    <row r="12" spans="1:12" x14ac:dyDescent="0.3">
      <c r="A12" s="2" t="s">
        <v>69</v>
      </c>
      <c r="B12" s="2" t="s">
        <v>23</v>
      </c>
      <c r="C12" s="2" t="s">
        <v>70</v>
      </c>
      <c r="D12" s="2" t="s">
        <v>32</v>
      </c>
      <c r="E12" s="2" t="s">
        <v>71</v>
      </c>
      <c r="F12" s="2" t="s">
        <v>72</v>
      </c>
      <c r="G12" s="2" t="s">
        <v>73</v>
      </c>
      <c r="H12" s="2">
        <v>8</v>
      </c>
      <c r="I12" s="2" t="s">
        <v>77</v>
      </c>
      <c r="J12" s="2">
        <v>2</v>
      </c>
      <c r="K12" s="2" t="s">
        <v>21</v>
      </c>
      <c r="L12" s="2"/>
    </row>
    <row r="13" spans="1:12" x14ac:dyDescent="0.3">
      <c r="A13" s="3" t="s">
        <v>74</v>
      </c>
      <c r="B13" s="3" t="s">
        <v>13</v>
      </c>
      <c r="C13" s="3" t="s">
        <v>37</v>
      </c>
      <c r="D13" s="3" t="s">
        <v>38</v>
      </c>
      <c r="E13" s="3" t="s">
        <v>75</v>
      </c>
      <c r="F13" s="3" t="s">
        <v>60</v>
      </c>
      <c r="G13" s="3" t="s">
        <v>76</v>
      </c>
      <c r="H13" s="3">
        <v>3</v>
      </c>
      <c r="I13" s="2" t="s">
        <v>19</v>
      </c>
      <c r="J13" s="3">
        <v>2</v>
      </c>
      <c r="K13" s="3" t="s">
        <v>21</v>
      </c>
      <c r="L13" s="3"/>
    </row>
    <row r="14" spans="1:12" x14ac:dyDescent="0.3">
      <c r="A14" s="2" t="s">
        <v>78</v>
      </c>
      <c r="B14" s="2" t="s">
        <v>13</v>
      </c>
      <c r="C14" s="2" t="s">
        <v>70</v>
      </c>
      <c r="D14" s="2" t="s">
        <v>38</v>
      </c>
      <c r="E14" s="2" t="s">
        <v>79</v>
      </c>
      <c r="F14" s="2" t="s">
        <v>80</v>
      </c>
      <c r="G14" s="2" t="s">
        <v>76</v>
      </c>
      <c r="H14" s="2">
        <v>6</v>
      </c>
      <c r="I14" s="2" t="s">
        <v>48</v>
      </c>
      <c r="J14" s="2">
        <v>1</v>
      </c>
      <c r="K14" s="2" t="s">
        <v>20</v>
      </c>
      <c r="L14" s="2"/>
    </row>
    <row r="15" spans="1:12" x14ac:dyDescent="0.3">
      <c r="A15" s="3" t="s">
        <v>81</v>
      </c>
      <c r="B15" s="3" t="s">
        <v>30</v>
      </c>
      <c r="C15" s="3" t="s">
        <v>82</v>
      </c>
      <c r="D15" s="4"/>
      <c r="E15" s="3" t="s">
        <v>83</v>
      </c>
      <c r="F15" s="3" t="s">
        <v>84</v>
      </c>
      <c r="G15" s="3" t="s">
        <v>85</v>
      </c>
      <c r="H15" s="3">
        <v>1</v>
      </c>
      <c r="I15" s="2" t="s">
        <v>19</v>
      </c>
      <c r="J15" s="3">
        <v>2</v>
      </c>
      <c r="K15" s="3" t="s">
        <v>21</v>
      </c>
      <c r="L15" s="3"/>
    </row>
    <row r="16" spans="1:12" x14ac:dyDescent="0.3">
      <c r="A16" s="2" t="s">
        <v>86</v>
      </c>
      <c r="B16" s="2" t="s">
        <v>43</v>
      </c>
      <c r="C16" s="2" t="s">
        <v>70</v>
      </c>
      <c r="D16" s="2" t="s">
        <v>15</v>
      </c>
      <c r="E16" s="2" t="s">
        <v>87</v>
      </c>
      <c r="F16" s="2" t="s">
        <v>40</v>
      </c>
      <c r="G16" s="2" t="s">
        <v>76</v>
      </c>
      <c r="H16" s="2">
        <v>8</v>
      </c>
      <c r="I16" s="2" t="s">
        <v>48</v>
      </c>
      <c r="J16" s="2">
        <v>1</v>
      </c>
      <c r="K16" s="2" t="s">
        <v>20</v>
      </c>
      <c r="L16" s="2"/>
    </row>
    <row r="17" spans="1:12" x14ac:dyDescent="0.3">
      <c r="A17" s="3" t="s">
        <v>88</v>
      </c>
      <c r="B17" s="3" t="s">
        <v>58</v>
      </c>
      <c r="C17" s="3" t="s">
        <v>44</v>
      </c>
      <c r="D17" s="3" t="s">
        <v>24</v>
      </c>
      <c r="E17" s="3" t="s">
        <v>89</v>
      </c>
      <c r="F17" s="3" t="s">
        <v>90</v>
      </c>
      <c r="G17" s="3" t="s">
        <v>91</v>
      </c>
      <c r="H17" s="3">
        <v>1</v>
      </c>
      <c r="I17" s="2" t="s">
        <v>19</v>
      </c>
      <c r="J17" s="3">
        <v>2</v>
      </c>
      <c r="K17" s="3" t="s">
        <v>21</v>
      </c>
      <c r="L17" s="3"/>
    </row>
    <row r="18" spans="1:12" x14ac:dyDescent="0.3">
      <c r="A18" s="2" t="s">
        <v>92</v>
      </c>
      <c r="B18" s="2" t="s">
        <v>13</v>
      </c>
      <c r="C18" s="2" t="s">
        <v>14</v>
      </c>
      <c r="D18" s="2" t="s">
        <v>93</v>
      </c>
      <c r="E18" s="2" t="s">
        <v>94</v>
      </c>
      <c r="F18" s="2" t="s">
        <v>90</v>
      </c>
      <c r="G18" s="2" t="s">
        <v>95</v>
      </c>
      <c r="H18" s="2">
        <v>3</v>
      </c>
      <c r="I18" s="2" t="s">
        <v>28</v>
      </c>
      <c r="J18" s="2">
        <v>2</v>
      </c>
      <c r="K18" s="2" t="s">
        <v>21</v>
      </c>
      <c r="L18" s="2"/>
    </row>
    <row r="19" spans="1:12" x14ac:dyDescent="0.3">
      <c r="A19" s="3" t="s">
        <v>96</v>
      </c>
      <c r="B19" s="3" t="s">
        <v>43</v>
      </c>
      <c r="C19" s="3" t="s">
        <v>70</v>
      </c>
      <c r="D19" s="3" t="s">
        <v>15</v>
      </c>
      <c r="E19" s="3" t="s">
        <v>97</v>
      </c>
      <c r="F19" s="3" t="s">
        <v>98</v>
      </c>
      <c r="G19" s="3" t="s">
        <v>73</v>
      </c>
      <c r="H19" s="3">
        <v>3</v>
      </c>
      <c r="I19" s="2" t="s">
        <v>19</v>
      </c>
      <c r="J19" s="3">
        <v>2</v>
      </c>
      <c r="K19" s="3" t="s">
        <v>21</v>
      </c>
      <c r="L19" s="3"/>
    </row>
    <row r="20" spans="1:12" x14ac:dyDescent="0.3">
      <c r="A20" s="2" t="s">
        <v>99</v>
      </c>
      <c r="B20" s="2" t="s">
        <v>13</v>
      </c>
      <c r="C20" s="2" t="s">
        <v>44</v>
      </c>
      <c r="D20" s="2" t="s">
        <v>24</v>
      </c>
      <c r="E20" s="2" t="s">
        <v>100</v>
      </c>
      <c r="F20" s="2" t="s">
        <v>101</v>
      </c>
      <c r="G20" s="2" t="s">
        <v>41</v>
      </c>
      <c r="H20" s="2">
        <v>5</v>
      </c>
      <c r="I20" s="2" t="s">
        <v>19</v>
      </c>
      <c r="J20" s="2">
        <v>2</v>
      </c>
      <c r="K20" s="2" t="s">
        <v>21</v>
      </c>
      <c r="L20" s="2"/>
    </row>
    <row r="21" spans="1:12" x14ac:dyDescent="0.3">
      <c r="A21" s="3" t="s">
        <v>102</v>
      </c>
      <c r="B21" s="3" t="s">
        <v>43</v>
      </c>
      <c r="C21" s="3" t="s">
        <v>70</v>
      </c>
      <c r="D21" s="3" t="s">
        <v>24</v>
      </c>
      <c r="E21" s="3" t="s">
        <v>103</v>
      </c>
      <c r="F21" s="3" t="s">
        <v>104</v>
      </c>
      <c r="G21" s="3" t="s">
        <v>18</v>
      </c>
      <c r="H21" s="3">
        <v>1</v>
      </c>
      <c r="I21" s="2" t="s">
        <v>28</v>
      </c>
      <c r="J21" s="3">
        <v>2</v>
      </c>
      <c r="K21" s="3" t="s">
        <v>21</v>
      </c>
      <c r="L21" s="3"/>
    </row>
    <row r="22" spans="1:12" x14ac:dyDescent="0.3">
      <c r="A22" s="2" t="s">
        <v>105</v>
      </c>
      <c r="B22" s="2" t="s">
        <v>23</v>
      </c>
      <c r="C22" s="2" t="s">
        <v>37</v>
      </c>
      <c r="D22" s="5"/>
      <c r="E22" s="2" t="s">
        <v>106</v>
      </c>
      <c r="F22" s="2" t="s">
        <v>107</v>
      </c>
      <c r="G22" s="2" t="s">
        <v>108</v>
      </c>
      <c r="H22" s="2">
        <v>4</v>
      </c>
      <c r="I22" s="2" t="s">
        <v>28</v>
      </c>
      <c r="J22" s="2">
        <v>2</v>
      </c>
      <c r="K22" s="2" t="s">
        <v>21</v>
      </c>
      <c r="L22" s="2"/>
    </row>
    <row r="23" spans="1:12" x14ac:dyDescent="0.3">
      <c r="A23" s="3" t="s">
        <v>109</v>
      </c>
      <c r="B23" s="3" t="s">
        <v>58</v>
      </c>
      <c r="C23" s="3" t="s">
        <v>110</v>
      </c>
      <c r="D23" s="3" t="s">
        <v>93</v>
      </c>
      <c r="E23" s="3" t="s">
        <v>111</v>
      </c>
      <c r="F23" s="3" t="s">
        <v>112</v>
      </c>
      <c r="G23" s="3" t="s">
        <v>113</v>
      </c>
      <c r="H23" s="3">
        <v>5</v>
      </c>
      <c r="I23" s="2" t="s">
        <v>28</v>
      </c>
      <c r="J23" s="3">
        <v>2</v>
      </c>
      <c r="K23" s="3" t="s">
        <v>21</v>
      </c>
      <c r="L23" s="3"/>
    </row>
    <row r="24" spans="1:12" x14ac:dyDescent="0.3">
      <c r="A24" s="2" t="s">
        <v>114</v>
      </c>
      <c r="B24" s="2" t="s">
        <v>43</v>
      </c>
      <c r="C24" s="2" t="s">
        <v>70</v>
      </c>
      <c r="D24" s="2" t="s">
        <v>53</v>
      </c>
      <c r="E24" s="2" t="s">
        <v>54</v>
      </c>
      <c r="F24" s="2" t="s">
        <v>115</v>
      </c>
      <c r="G24" s="2" t="s">
        <v>116</v>
      </c>
      <c r="H24" s="2">
        <v>6</v>
      </c>
      <c r="I24" s="2" t="s">
        <v>19</v>
      </c>
      <c r="J24" s="2">
        <v>2</v>
      </c>
      <c r="K24" s="2" t="s">
        <v>21</v>
      </c>
      <c r="L24" s="2"/>
    </row>
    <row r="25" spans="1:12" x14ac:dyDescent="0.3">
      <c r="A25" s="3" t="s">
        <v>117</v>
      </c>
      <c r="B25" s="3" t="s">
        <v>23</v>
      </c>
      <c r="C25" s="3" t="s">
        <v>118</v>
      </c>
      <c r="D25" s="3" t="s">
        <v>38</v>
      </c>
      <c r="E25" s="3" t="s">
        <v>119</v>
      </c>
      <c r="F25" s="6" t="s">
        <v>80</v>
      </c>
      <c r="G25" s="6" t="s">
        <v>27</v>
      </c>
      <c r="H25" s="3">
        <v>2</v>
      </c>
      <c r="I25" s="2" t="s">
        <v>19</v>
      </c>
      <c r="J25" s="3">
        <v>1</v>
      </c>
      <c r="K25" s="3" t="s">
        <v>20</v>
      </c>
      <c r="L25" s="3"/>
    </row>
    <row r="26" spans="1:12" x14ac:dyDescent="0.3">
      <c r="A26" s="2" t="s">
        <v>120</v>
      </c>
      <c r="B26" s="2" t="s">
        <v>30</v>
      </c>
      <c r="C26" s="2" t="s">
        <v>118</v>
      </c>
      <c r="D26" s="2" t="s">
        <v>15</v>
      </c>
      <c r="E26" s="2" t="s">
        <v>63</v>
      </c>
      <c r="F26" s="2" t="s">
        <v>121</v>
      </c>
      <c r="G26" s="2" t="s">
        <v>122</v>
      </c>
      <c r="H26" s="2">
        <v>5</v>
      </c>
      <c r="I26" s="2" t="s">
        <v>19</v>
      </c>
      <c r="J26" s="2">
        <v>2</v>
      </c>
      <c r="K26" s="2" t="s">
        <v>21</v>
      </c>
      <c r="L26" s="2"/>
    </row>
    <row r="27" spans="1:12" x14ac:dyDescent="0.3">
      <c r="A27" s="3" t="s">
        <v>123</v>
      </c>
      <c r="B27" s="3" t="s">
        <v>43</v>
      </c>
      <c r="C27" s="3" t="s">
        <v>82</v>
      </c>
      <c r="D27" s="3" t="s">
        <v>15</v>
      </c>
      <c r="E27" s="3" t="s">
        <v>124</v>
      </c>
      <c r="F27" s="3" t="s">
        <v>34</v>
      </c>
      <c r="G27" s="3" t="s">
        <v>125</v>
      </c>
      <c r="H27" s="3">
        <v>8</v>
      </c>
      <c r="I27" s="2" t="s">
        <v>19</v>
      </c>
      <c r="J27" s="3">
        <v>1</v>
      </c>
      <c r="K27" s="3" t="s">
        <v>20</v>
      </c>
      <c r="L27" s="3"/>
    </row>
    <row r="28" spans="1:12" x14ac:dyDescent="0.3">
      <c r="A28" s="2" t="s">
        <v>126</v>
      </c>
      <c r="B28" s="2" t="s">
        <v>30</v>
      </c>
      <c r="C28" s="2" t="s">
        <v>70</v>
      </c>
      <c r="D28" s="2" t="s">
        <v>15</v>
      </c>
      <c r="E28" s="2" t="s">
        <v>16</v>
      </c>
      <c r="F28" s="2" t="s">
        <v>64</v>
      </c>
      <c r="G28" s="2" t="s">
        <v>91</v>
      </c>
      <c r="H28" s="2">
        <v>5</v>
      </c>
      <c r="I28" s="2" t="s">
        <v>19</v>
      </c>
      <c r="J28" s="2">
        <v>2</v>
      </c>
      <c r="K28" s="2" t="s">
        <v>21</v>
      </c>
      <c r="L28" s="2"/>
    </row>
    <row r="29" spans="1:12" x14ac:dyDescent="0.3">
      <c r="A29" s="3" t="s">
        <v>127</v>
      </c>
      <c r="B29" s="3" t="s">
        <v>30</v>
      </c>
      <c r="C29" s="3" t="s">
        <v>70</v>
      </c>
      <c r="D29" s="3" t="s">
        <v>24</v>
      </c>
      <c r="E29" s="3" t="s">
        <v>128</v>
      </c>
      <c r="F29" s="3" t="s">
        <v>60</v>
      </c>
      <c r="G29" s="3" t="s">
        <v>129</v>
      </c>
      <c r="H29" s="3">
        <v>3</v>
      </c>
      <c r="I29" s="2" t="s">
        <v>19</v>
      </c>
      <c r="J29" s="3">
        <v>2</v>
      </c>
      <c r="K29" s="3" t="s">
        <v>21</v>
      </c>
      <c r="L29" s="3"/>
    </row>
    <row r="30" spans="1:12" x14ac:dyDescent="0.3">
      <c r="A30" s="2" t="s">
        <v>130</v>
      </c>
      <c r="B30" s="2" t="s">
        <v>58</v>
      </c>
      <c r="C30" s="2" t="s">
        <v>14</v>
      </c>
      <c r="D30" s="2" t="s">
        <v>32</v>
      </c>
      <c r="E30" s="2" t="s">
        <v>131</v>
      </c>
      <c r="F30" s="2" t="s">
        <v>68</v>
      </c>
      <c r="G30" s="2" t="s">
        <v>132</v>
      </c>
      <c r="H30" s="2">
        <v>8</v>
      </c>
      <c r="I30" s="2" t="s">
        <v>19</v>
      </c>
      <c r="J30" s="2">
        <v>1</v>
      </c>
      <c r="K30" s="2" t="s">
        <v>20</v>
      </c>
      <c r="L30" s="2"/>
    </row>
    <row r="31" spans="1:12" x14ac:dyDescent="0.3">
      <c r="A31" s="3" t="s">
        <v>133</v>
      </c>
      <c r="B31" s="4"/>
      <c r="C31" s="3" t="s">
        <v>82</v>
      </c>
      <c r="D31" s="3" t="s">
        <v>93</v>
      </c>
      <c r="E31" s="3" t="s">
        <v>134</v>
      </c>
      <c r="F31" s="3" t="s">
        <v>135</v>
      </c>
      <c r="G31" s="3" t="s">
        <v>136</v>
      </c>
      <c r="H31" s="3">
        <v>5</v>
      </c>
      <c r="I31" s="2" t="s">
        <v>19</v>
      </c>
      <c r="J31" s="3">
        <v>2</v>
      </c>
      <c r="K31" s="3" t="s">
        <v>21</v>
      </c>
      <c r="L31" s="3"/>
    </row>
    <row r="32" spans="1:12" x14ac:dyDescent="0.3">
      <c r="A32" s="2" t="s">
        <v>137</v>
      </c>
      <c r="B32" s="2" t="s">
        <v>43</v>
      </c>
      <c r="C32" s="2" t="s">
        <v>37</v>
      </c>
      <c r="D32" s="2" t="s">
        <v>138</v>
      </c>
      <c r="E32" s="2" t="s">
        <v>139</v>
      </c>
      <c r="F32" s="2" t="s">
        <v>140</v>
      </c>
      <c r="G32" s="2" t="s">
        <v>113</v>
      </c>
      <c r="H32" s="2">
        <v>2</v>
      </c>
      <c r="I32" s="2" t="s">
        <v>19</v>
      </c>
      <c r="J32" s="2">
        <v>1</v>
      </c>
      <c r="K32" s="2" t="s">
        <v>20</v>
      </c>
      <c r="L32" s="2"/>
    </row>
    <row r="33" spans="1:12" x14ac:dyDescent="0.3">
      <c r="A33" s="3" t="s">
        <v>141</v>
      </c>
      <c r="B33" s="3" t="s">
        <v>142</v>
      </c>
      <c r="C33" s="3" t="s">
        <v>14</v>
      </c>
      <c r="D33" s="3" t="s">
        <v>138</v>
      </c>
      <c r="E33" s="3" t="s">
        <v>143</v>
      </c>
      <c r="F33" s="3" t="s">
        <v>51</v>
      </c>
      <c r="G33" s="3" t="s">
        <v>144</v>
      </c>
      <c r="H33" s="3">
        <v>4</v>
      </c>
      <c r="I33" s="2" t="s">
        <v>19</v>
      </c>
      <c r="J33" s="3">
        <v>2</v>
      </c>
      <c r="K33" s="3" t="s">
        <v>21</v>
      </c>
      <c r="L33" s="3"/>
    </row>
    <row r="34" spans="1:12" x14ac:dyDescent="0.3">
      <c r="A34" s="2" t="s">
        <v>145</v>
      </c>
      <c r="B34" s="2" t="s">
        <v>58</v>
      </c>
      <c r="C34" s="2" t="s">
        <v>37</v>
      </c>
      <c r="D34" s="2" t="s">
        <v>93</v>
      </c>
      <c r="E34" s="2" t="s">
        <v>146</v>
      </c>
      <c r="F34" s="2" t="s">
        <v>147</v>
      </c>
      <c r="G34" s="2" t="s">
        <v>148</v>
      </c>
      <c r="H34" s="2">
        <v>6</v>
      </c>
      <c r="I34" s="2" t="s">
        <v>19</v>
      </c>
      <c r="J34" s="2">
        <v>1</v>
      </c>
      <c r="K34" s="2" t="s">
        <v>20</v>
      </c>
      <c r="L34" s="2"/>
    </row>
    <row r="35" spans="1:12" x14ac:dyDescent="0.3">
      <c r="A35" s="3" t="s">
        <v>149</v>
      </c>
      <c r="B35" s="3" t="s">
        <v>58</v>
      </c>
      <c r="C35" s="3" t="s">
        <v>31</v>
      </c>
      <c r="D35" s="3" t="s">
        <v>24</v>
      </c>
      <c r="E35" s="3" t="s">
        <v>150</v>
      </c>
      <c r="F35" s="3" t="s">
        <v>151</v>
      </c>
      <c r="G35" s="3" t="s">
        <v>56</v>
      </c>
      <c r="H35" s="3">
        <v>5</v>
      </c>
      <c r="I35" s="2" t="s">
        <v>19</v>
      </c>
      <c r="J35" s="3">
        <v>1</v>
      </c>
      <c r="K35" s="3" t="s">
        <v>20</v>
      </c>
      <c r="L35" s="3"/>
    </row>
    <row r="36" spans="1:12" x14ac:dyDescent="0.3">
      <c r="A36" s="2" t="s">
        <v>152</v>
      </c>
      <c r="B36" s="2" t="s">
        <v>142</v>
      </c>
      <c r="C36" s="2" t="s">
        <v>14</v>
      </c>
      <c r="D36" s="2" t="s">
        <v>93</v>
      </c>
      <c r="E36" s="2" t="s">
        <v>153</v>
      </c>
      <c r="F36" s="2" t="s">
        <v>115</v>
      </c>
      <c r="G36" s="2" t="s">
        <v>154</v>
      </c>
      <c r="H36" s="2">
        <v>6</v>
      </c>
      <c r="I36" s="2" t="s">
        <v>19</v>
      </c>
      <c r="J36" s="2">
        <v>1</v>
      </c>
      <c r="K36" s="2" t="s">
        <v>20</v>
      </c>
      <c r="L36" s="2"/>
    </row>
    <row r="37" spans="1:12" x14ac:dyDescent="0.3">
      <c r="A37" s="3" t="s">
        <v>155</v>
      </c>
      <c r="B37" s="3" t="s">
        <v>43</v>
      </c>
      <c r="C37" s="3" t="s">
        <v>82</v>
      </c>
      <c r="D37" s="3" t="s">
        <v>24</v>
      </c>
      <c r="E37" s="3" t="s">
        <v>156</v>
      </c>
      <c r="F37" s="3" t="s">
        <v>157</v>
      </c>
      <c r="G37" s="3" t="s">
        <v>154</v>
      </c>
      <c r="H37" s="3">
        <v>7</v>
      </c>
      <c r="I37" s="2" t="s">
        <v>19</v>
      </c>
      <c r="J37" s="3">
        <v>2</v>
      </c>
      <c r="K37" s="3" t="s">
        <v>21</v>
      </c>
      <c r="L37" s="3"/>
    </row>
    <row r="38" spans="1:12" x14ac:dyDescent="0.3">
      <c r="A38" s="2" t="s">
        <v>158</v>
      </c>
      <c r="B38" s="2" t="s">
        <v>58</v>
      </c>
      <c r="C38" s="2" t="s">
        <v>82</v>
      </c>
      <c r="D38" s="2" t="s">
        <v>138</v>
      </c>
      <c r="E38" s="2" t="s">
        <v>139</v>
      </c>
      <c r="F38" s="2" t="s">
        <v>60</v>
      </c>
      <c r="G38" s="2" t="s">
        <v>35</v>
      </c>
      <c r="H38" s="2">
        <v>4</v>
      </c>
      <c r="I38" s="2" t="s">
        <v>19</v>
      </c>
      <c r="J38" s="2">
        <v>2</v>
      </c>
      <c r="K38" s="2" t="s">
        <v>21</v>
      </c>
      <c r="L38" s="2"/>
    </row>
    <row r="39" spans="1:12" x14ac:dyDescent="0.3">
      <c r="A39" s="3" t="s">
        <v>159</v>
      </c>
      <c r="B39" s="3" t="s">
        <v>13</v>
      </c>
      <c r="C39" s="3" t="s">
        <v>160</v>
      </c>
      <c r="D39" s="3" t="s">
        <v>24</v>
      </c>
      <c r="E39" s="3" t="s">
        <v>161</v>
      </c>
      <c r="F39" s="3" t="s">
        <v>162</v>
      </c>
      <c r="G39" s="3" t="s">
        <v>163</v>
      </c>
      <c r="H39" s="3">
        <v>7</v>
      </c>
      <c r="I39" s="2" t="s">
        <v>19</v>
      </c>
      <c r="J39" s="3">
        <v>1</v>
      </c>
      <c r="K39" s="3" t="s">
        <v>20</v>
      </c>
      <c r="L39" s="3"/>
    </row>
    <row r="40" spans="1:12" x14ac:dyDescent="0.3">
      <c r="A40" s="2" t="s">
        <v>164</v>
      </c>
      <c r="B40" s="2" t="s">
        <v>58</v>
      </c>
      <c r="C40" s="2" t="s">
        <v>118</v>
      </c>
      <c r="D40" s="2" t="s">
        <v>165</v>
      </c>
      <c r="E40" s="2" t="s">
        <v>166</v>
      </c>
      <c r="F40" s="2" t="s">
        <v>112</v>
      </c>
      <c r="G40" s="2" t="s">
        <v>125</v>
      </c>
      <c r="H40" s="2">
        <v>4</v>
      </c>
      <c r="I40" s="2" t="s">
        <v>19</v>
      </c>
      <c r="J40" s="2">
        <v>2</v>
      </c>
      <c r="K40" s="2" t="s">
        <v>21</v>
      </c>
      <c r="L40" s="2"/>
    </row>
    <row r="41" spans="1:12" x14ac:dyDescent="0.3">
      <c r="A41" s="3" t="s">
        <v>167</v>
      </c>
      <c r="B41" s="4"/>
      <c r="C41" s="3" t="s">
        <v>110</v>
      </c>
      <c r="D41" s="3" t="s">
        <v>38</v>
      </c>
      <c r="E41" s="3" t="s">
        <v>168</v>
      </c>
      <c r="F41" s="3" t="s">
        <v>60</v>
      </c>
      <c r="G41" s="3" t="s">
        <v>169</v>
      </c>
      <c r="H41" s="3">
        <v>4</v>
      </c>
      <c r="I41" s="2" t="s">
        <v>19</v>
      </c>
      <c r="J41" s="3">
        <v>1</v>
      </c>
      <c r="K41" s="3" t="s">
        <v>20</v>
      </c>
      <c r="L41" s="3"/>
    </row>
    <row r="42" spans="1:12" x14ac:dyDescent="0.3">
      <c r="A42" s="2" t="s">
        <v>170</v>
      </c>
      <c r="B42" s="2" t="s">
        <v>30</v>
      </c>
      <c r="C42" s="2" t="s">
        <v>70</v>
      </c>
      <c r="D42" s="2" t="s">
        <v>15</v>
      </c>
      <c r="E42" s="2" t="s">
        <v>171</v>
      </c>
      <c r="F42" s="2" t="s">
        <v>151</v>
      </c>
      <c r="G42" s="2" t="s">
        <v>129</v>
      </c>
      <c r="H42" s="2">
        <v>7</v>
      </c>
      <c r="I42" s="2" t="s">
        <v>19</v>
      </c>
      <c r="J42" s="2">
        <v>1</v>
      </c>
      <c r="K42" s="2" t="s">
        <v>20</v>
      </c>
      <c r="L42" s="2"/>
    </row>
    <row r="43" spans="1:12" x14ac:dyDescent="0.3">
      <c r="A43" s="3" t="s">
        <v>172</v>
      </c>
      <c r="B43" s="3" t="s">
        <v>142</v>
      </c>
      <c r="C43" s="3" t="s">
        <v>44</v>
      </c>
      <c r="D43" s="3" t="s">
        <v>53</v>
      </c>
      <c r="E43" s="3" t="s">
        <v>173</v>
      </c>
      <c r="F43" s="3" t="s">
        <v>174</v>
      </c>
      <c r="G43" s="3" t="s">
        <v>18</v>
      </c>
      <c r="H43" s="3">
        <v>4</v>
      </c>
      <c r="I43" s="2" t="s">
        <v>19</v>
      </c>
      <c r="J43" s="3">
        <v>1</v>
      </c>
      <c r="K43" s="3" t="s">
        <v>20</v>
      </c>
      <c r="L43" s="3"/>
    </row>
    <row r="44" spans="1:12" x14ac:dyDescent="0.3">
      <c r="A44" s="2" t="s">
        <v>175</v>
      </c>
      <c r="B44" s="2" t="s">
        <v>58</v>
      </c>
      <c r="C44" s="2" t="s">
        <v>44</v>
      </c>
      <c r="D44" s="2" t="s">
        <v>53</v>
      </c>
      <c r="E44" s="2" t="s">
        <v>176</v>
      </c>
      <c r="F44" s="2" t="s">
        <v>177</v>
      </c>
      <c r="G44" s="2" t="s">
        <v>132</v>
      </c>
      <c r="H44" s="2">
        <v>7</v>
      </c>
      <c r="I44" s="2" t="s">
        <v>19</v>
      </c>
      <c r="J44" s="2">
        <v>1</v>
      </c>
      <c r="K44" s="2" t="s">
        <v>20</v>
      </c>
      <c r="L44" s="2"/>
    </row>
    <row r="45" spans="1:12" x14ac:dyDescent="0.3">
      <c r="A45" s="3" t="s">
        <v>178</v>
      </c>
      <c r="B45" s="3" t="s">
        <v>43</v>
      </c>
      <c r="C45" s="3" t="s">
        <v>118</v>
      </c>
      <c r="D45" s="3" t="s">
        <v>32</v>
      </c>
      <c r="E45" s="3" t="s">
        <v>179</v>
      </c>
      <c r="F45" s="3" t="s">
        <v>115</v>
      </c>
      <c r="G45" s="3" t="s">
        <v>180</v>
      </c>
      <c r="H45" s="3">
        <v>6</v>
      </c>
      <c r="I45" s="2" t="s">
        <v>19</v>
      </c>
      <c r="J45" s="3">
        <v>2</v>
      </c>
      <c r="K45" s="3" t="s">
        <v>21</v>
      </c>
      <c r="L45" s="3"/>
    </row>
    <row r="46" spans="1:12" x14ac:dyDescent="0.3">
      <c r="A46" s="2" t="s">
        <v>181</v>
      </c>
      <c r="B46" s="2" t="s">
        <v>142</v>
      </c>
      <c r="C46" s="2" t="s">
        <v>82</v>
      </c>
      <c r="D46" s="2" t="s">
        <v>138</v>
      </c>
      <c r="E46" s="2" t="s">
        <v>182</v>
      </c>
      <c r="F46" s="2" t="s">
        <v>112</v>
      </c>
      <c r="G46" s="2" t="s">
        <v>169</v>
      </c>
      <c r="H46" s="2">
        <v>4</v>
      </c>
      <c r="I46" s="2" t="s">
        <v>19</v>
      </c>
      <c r="J46" s="2">
        <v>2</v>
      </c>
      <c r="K46" s="2" t="s">
        <v>21</v>
      </c>
      <c r="L46" s="2"/>
    </row>
    <row r="47" spans="1:12" x14ac:dyDescent="0.3">
      <c r="A47" s="3" t="s">
        <v>183</v>
      </c>
      <c r="B47" s="3" t="s">
        <v>23</v>
      </c>
      <c r="C47" s="3" t="s">
        <v>31</v>
      </c>
      <c r="D47" s="3" t="s">
        <v>24</v>
      </c>
      <c r="E47" s="3" t="s">
        <v>156</v>
      </c>
      <c r="F47" s="3" t="s">
        <v>157</v>
      </c>
      <c r="G47" s="3" t="s">
        <v>184</v>
      </c>
      <c r="H47" s="3">
        <v>4</v>
      </c>
      <c r="I47" s="2" t="s">
        <v>19</v>
      </c>
      <c r="J47" s="3">
        <v>2</v>
      </c>
      <c r="K47" s="3" t="s">
        <v>21</v>
      </c>
      <c r="L47" s="3"/>
    </row>
    <row r="48" spans="1:12" x14ac:dyDescent="0.3">
      <c r="A48" s="2" t="s">
        <v>185</v>
      </c>
      <c r="B48" s="2" t="s">
        <v>13</v>
      </c>
      <c r="C48" s="2" t="s">
        <v>118</v>
      </c>
      <c r="D48" s="2" t="s">
        <v>32</v>
      </c>
      <c r="E48" s="2" t="s">
        <v>186</v>
      </c>
      <c r="F48" s="2" t="s">
        <v>51</v>
      </c>
      <c r="G48" s="2" t="s">
        <v>61</v>
      </c>
      <c r="H48" s="2">
        <v>7</v>
      </c>
      <c r="I48" s="2" t="s">
        <v>19</v>
      </c>
      <c r="J48" s="2">
        <v>2</v>
      </c>
      <c r="K48" s="2" t="s">
        <v>21</v>
      </c>
      <c r="L48" s="2"/>
    </row>
    <row r="49" spans="1:12" x14ac:dyDescent="0.3">
      <c r="A49" s="3" t="s">
        <v>187</v>
      </c>
      <c r="B49" s="3" t="s">
        <v>58</v>
      </c>
      <c r="C49" s="3" t="s">
        <v>37</v>
      </c>
      <c r="D49" s="3" t="s">
        <v>24</v>
      </c>
      <c r="E49" s="3" t="s">
        <v>188</v>
      </c>
      <c r="F49" s="3" t="s">
        <v>90</v>
      </c>
      <c r="G49" s="3" t="s">
        <v>56</v>
      </c>
      <c r="H49" s="3">
        <v>6</v>
      </c>
      <c r="I49" s="2" t="s">
        <v>19</v>
      </c>
      <c r="J49" s="3">
        <v>1</v>
      </c>
      <c r="K49" s="3" t="s">
        <v>20</v>
      </c>
      <c r="L49" s="3"/>
    </row>
    <row r="50" spans="1:12" x14ac:dyDescent="0.3">
      <c r="A50" s="2" t="s">
        <v>189</v>
      </c>
      <c r="B50" s="2" t="s">
        <v>142</v>
      </c>
      <c r="C50" s="2" t="s">
        <v>110</v>
      </c>
      <c r="D50" s="2" t="s">
        <v>138</v>
      </c>
      <c r="E50" s="2" t="s">
        <v>190</v>
      </c>
      <c r="F50" s="2" t="s">
        <v>191</v>
      </c>
      <c r="G50" s="2" t="s">
        <v>47</v>
      </c>
      <c r="H50" s="2">
        <v>3</v>
      </c>
      <c r="I50" s="2" t="s">
        <v>19</v>
      </c>
      <c r="J50" s="2">
        <v>2</v>
      </c>
      <c r="K50" s="2" t="s">
        <v>21</v>
      </c>
      <c r="L50" s="2"/>
    </row>
    <row r="51" spans="1:12" x14ac:dyDescent="0.3">
      <c r="A51" s="3" t="s">
        <v>192</v>
      </c>
      <c r="B51" s="3" t="s">
        <v>30</v>
      </c>
      <c r="C51" s="3" t="s">
        <v>14</v>
      </c>
      <c r="D51" s="3" t="s">
        <v>138</v>
      </c>
      <c r="E51" s="3" t="s">
        <v>193</v>
      </c>
      <c r="F51" s="3" t="s">
        <v>194</v>
      </c>
      <c r="G51" s="3" t="s">
        <v>195</v>
      </c>
      <c r="H51" s="3">
        <v>8</v>
      </c>
      <c r="I51" s="2" t="s">
        <v>19</v>
      </c>
      <c r="J51" s="3">
        <v>1</v>
      </c>
      <c r="K51" s="3" t="s">
        <v>20</v>
      </c>
      <c r="L51" s="3"/>
    </row>
    <row r="52" spans="1:12" x14ac:dyDescent="0.3">
      <c r="A52" s="2" t="s">
        <v>196</v>
      </c>
      <c r="B52" s="2" t="s">
        <v>142</v>
      </c>
      <c r="C52" s="2" t="s">
        <v>14</v>
      </c>
      <c r="D52" s="2" t="s">
        <v>165</v>
      </c>
      <c r="E52" s="2" t="s">
        <v>197</v>
      </c>
      <c r="F52" s="2" t="s">
        <v>55</v>
      </c>
      <c r="G52" s="2" t="s">
        <v>113</v>
      </c>
      <c r="H52" s="2">
        <v>5</v>
      </c>
      <c r="I52" s="2" t="s">
        <v>19</v>
      </c>
      <c r="J52" s="2">
        <v>2</v>
      </c>
      <c r="K52" s="2" t="s">
        <v>21</v>
      </c>
      <c r="L52" s="2"/>
    </row>
    <row r="53" spans="1:12" x14ac:dyDescent="0.3">
      <c r="A53" s="3" t="s">
        <v>198</v>
      </c>
      <c r="B53" s="3" t="s">
        <v>23</v>
      </c>
      <c r="C53" s="3" t="s">
        <v>14</v>
      </c>
      <c r="D53" s="3" t="s">
        <v>24</v>
      </c>
      <c r="E53" s="3" t="s">
        <v>25</v>
      </c>
      <c r="F53" s="3" t="s">
        <v>151</v>
      </c>
      <c r="G53" s="3" t="s">
        <v>154</v>
      </c>
      <c r="H53" s="3">
        <v>2</v>
      </c>
      <c r="I53" s="2" t="s">
        <v>19</v>
      </c>
      <c r="J53" s="3">
        <v>1</v>
      </c>
      <c r="K53" s="3" t="s">
        <v>20</v>
      </c>
      <c r="L53" s="3"/>
    </row>
    <row r="54" spans="1:12" x14ac:dyDescent="0.3">
      <c r="A54" s="2" t="s">
        <v>199</v>
      </c>
      <c r="B54" s="2" t="s">
        <v>142</v>
      </c>
      <c r="C54" s="2" t="s">
        <v>70</v>
      </c>
      <c r="D54" s="2" t="s">
        <v>24</v>
      </c>
      <c r="E54" s="2" t="s">
        <v>200</v>
      </c>
      <c r="F54" s="2" t="s">
        <v>135</v>
      </c>
      <c r="G54" s="2" t="s">
        <v>201</v>
      </c>
      <c r="H54" s="2">
        <v>8</v>
      </c>
      <c r="I54" s="2" t="s">
        <v>19</v>
      </c>
      <c r="J54" s="2">
        <v>1</v>
      </c>
      <c r="K54" s="2" t="s">
        <v>20</v>
      </c>
      <c r="L54" s="2"/>
    </row>
    <row r="55" spans="1:12" x14ac:dyDescent="0.3">
      <c r="A55" s="3" t="s">
        <v>202</v>
      </c>
      <c r="B55" s="3" t="s">
        <v>30</v>
      </c>
      <c r="C55" s="3" t="s">
        <v>37</v>
      </c>
      <c r="D55" s="3" t="s">
        <v>24</v>
      </c>
      <c r="E55" s="3" t="s">
        <v>203</v>
      </c>
      <c r="F55" s="3" t="s">
        <v>162</v>
      </c>
      <c r="G55" s="3" t="s">
        <v>169</v>
      </c>
      <c r="H55" s="3">
        <v>4</v>
      </c>
      <c r="I55" s="2" t="s">
        <v>19</v>
      </c>
      <c r="J55" s="3">
        <v>2</v>
      </c>
      <c r="K55" s="3" t="s">
        <v>21</v>
      </c>
      <c r="L55" s="3"/>
    </row>
    <row r="56" spans="1:12" x14ac:dyDescent="0.3">
      <c r="A56" s="2" t="s">
        <v>204</v>
      </c>
      <c r="B56" s="2" t="s">
        <v>13</v>
      </c>
      <c r="C56" s="2" t="s">
        <v>110</v>
      </c>
      <c r="D56" s="5"/>
      <c r="E56" s="2" t="s">
        <v>50</v>
      </c>
      <c r="F56" s="2" t="s">
        <v>157</v>
      </c>
      <c r="G56" s="2" t="s">
        <v>148</v>
      </c>
      <c r="H56" s="2">
        <v>1</v>
      </c>
      <c r="I56" s="2" t="s">
        <v>19</v>
      </c>
      <c r="J56" s="2">
        <v>1</v>
      </c>
      <c r="K56" s="2" t="s">
        <v>20</v>
      </c>
      <c r="L56" s="2"/>
    </row>
    <row r="57" spans="1:12" x14ac:dyDescent="0.3">
      <c r="A57" s="3" t="s">
        <v>205</v>
      </c>
      <c r="B57" s="3" t="s">
        <v>23</v>
      </c>
      <c r="C57" s="3" t="s">
        <v>118</v>
      </c>
      <c r="D57" s="3" t="s">
        <v>165</v>
      </c>
      <c r="E57" s="3" t="s">
        <v>206</v>
      </c>
      <c r="F57" s="3" t="s">
        <v>90</v>
      </c>
      <c r="G57" s="3" t="s">
        <v>154</v>
      </c>
      <c r="H57" s="3">
        <v>3</v>
      </c>
      <c r="I57" s="2" t="s">
        <v>19</v>
      </c>
      <c r="J57" s="3">
        <v>2</v>
      </c>
      <c r="K57" s="3" t="s">
        <v>21</v>
      </c>
      <c r="L57" s="3"/>
    </row>
    <row r="58" spans="1:12" x14ac:dyDescent="0.3">
      <c r="A58" s="2" t="s">
        <v>207</v>
      </c>
      <c r="B58" s="2" t="s">
        <v>142</v>
      </c>
      <c r="C58" s="2" t="s">
        <v>37</v>
      </c>
      <c r="D58" s="2" t="s">
        <v>15</v>
      </c>
      <c r="E58" s="2" t="s">
        <v>208</v>
      </c>
      <c r="F58" s="2" t="s">
        <v>209</v>
      </c>
      <c r="G58" s="2" t="s">
        <v>210</v>
      </c>
      <c r="H58" s="2">
        <v>5</v>
      </c>
      <c r="I58" s="2" t="s">
        <v>19</v>
      </c>
      <c r="J58" s="2">
        <v>1</v>
      </c>
      <c r="K58" s="2" t="s">
        <v>20</v>
      </c>
      <c r="L58" s="2"/>
    </row>
    <row r="59" spans="1:12" x14ac:dyDescent="0.3">
      <c r="A59" s="3" t="s">
        <v>211</v>
      </c>
      <c r="B59" s="3" t="s">
        <v>23</v>
      </c>
      <c r="C59" s="3" t="s">
        <v>44</v>
      </c>
      <c r="D59" s="3" t="s">
        <v>138</v>
      </c>
      <c r="E59" s="3" t="s">
        <v>212</v>
      </c>
      <c r="F59" s="3" t="s">
        <v>51</v>
      </c>
      <c r="G59" s="3" t="s">
        <v>95</v>
      </c>
      <c r="H59" s="3">
        <v>5</v>
      </c>
      <c r="I59" s="2" t="s">
        <v>19</v>
      </c>
      <c r="J59" s="3">
        <v>2</v>
      </c>
      <c r="K59" s="3" t="s">
        <v>21</v>
      </c>
      <c r="L59" s="3"/>
    </row>
    <row r="60" spans="1:12" x14ac:dyDescent="0.3">
      <c r="A60" s="2" t="s">
        <v>213</v>
      </c>
      <c r="B60" s="2" t="s">
        <v>13</v>
      </c>
      <c r="C60" s="2" t="s">
        <v>14</v>
      </c>
      <c r="D60" s="2" t="s">
        <v>24</v>
      </c>
      <c r="E60" s="2" t="s">
        <v>214</v>
      </c>
      <c r="F60" s="2" t="s">
        <v>112</v>
      </c>
      <c r="G60" s="2" t="s">
        <v>85</v>
      </c>
      <c r="H60" s="2">
        <v>1</v>
      </c>
      <c r="I60" s="2" t="s">
        <v>19</v>
      </c>
      <c r="J60" s="2">
        <v>2</v>
      </c>
      <c r="K60" s="2" t="s">
        <v>21</v>
      </c>
      <c r="L60" s="2"/>
    </row>
    <row r="61" spans="1:12" x14ac:dyDescent="0.3">
      <c r="A61" s="3" t="s">
        <v>215</v>
      </c>
      <c r="B61" s="3" t="s">
        <v>30</v>
      </c>
      <c r="C61" s="3" t="s">
        <v>118</v>
      </c>
      <c r="D61" s="3" t="s">
        <v>38</v>
      </c>
      <c r="E61" s="3" t="s">
        <v>216</v>
      </c>
      <c r="F61" s="3" t="s">
        <v>40</v>
      </c>
      <c r="G61" s="3" t="s">
        <v>47</v>
      </c>
      <c r="H61" s="3">
        <v>5</v>
      </c>
      <c r="I61" s="2" t="s">
        <v>19</v>
      </c>
      <c r="J61" s="3">
        <v>2</v>
      </c>
      <c r="K61" s="3" t="s">
        <v>21</v>
      </c>
      <c r="L61" s="3"/>
    </row>
    <row r="62" spans="1:12" x14ac:dyDescent="0.3">
      <c r="A62" s="2" t="s">
        <v>217</v>
      </c>
      <c r="B62" s="2" t="s">
        <v>13</v>
      </c>
      <c r="C62" s="2" t="s">
        <v>37</v>
      </c>
      <c r="D62" s="2" t="s">
        <v>24</v>
      </c>
      <c r="E62" s="2" t="s">
        <v>103</v>
      </c>
      <c r="F62" s="2" t="s">
        <v>64</v>
      </c>
      <c r="G62" s="2" t="s">
        <v>132</v>
      </c>
      <c r="H62" s="2">
        <v>2</v>
      </c>
      <c r="I62" s="2" t="s">
        <v>19</v>
      </c>
      <c r="J62" s="2">
        <v>1</v>
      </c>
      <c r="K62" s="2" t="s">
        <v>20</v>
      </c>
      <c r="L62" s="2"/>
    </row>
    <row r="63" spans="1:12" x14ac:dyDescent="0.3">
      <c r="A63" s="3" t="s">
        <v>218</v>
      </c>
      <c r="B63" s="3" t="s">
        <v>142</v>
      </c>
      <c r="C63" s="3" t="s">
        <v>37</v>
      </c>
      <c r="D63" s="3" t="s">
        <v>38</v>
      </c>
      <c r="E63" s="3" t="s">
        <v>119</v>
      </c>
      <c r="F63" s="3" t="s">
        <v>26</v>
      </c>
      <c r="G63" s="3" t="s">
        <v>144</v>
      </c>
      <c r="H63" s="3">
        <v>1</v>
      </c>
      <c r="I63" s="2" t="s">
        <v>19</v>
      </c>
      <c r="J63" s="3">
        <v>1</v>
      </c>
      <c r="K63" s="3" t="s">
        <v>20</v>
      </c>
      <c r="L63" s="3"/>
    </row>
    <row r="64" spans="1:12" x14ac:dyDescent="0.3">
      <c r="A64" s="2" t="s">
        <v>219</v>
      </c>
      <c r="B64" s="2" t="s">
        <v>13</v>
      </c>
      <c r="C64" s="2" t="s">
        <v>160</v>
      </c>
      <c r="D64" s="2" t="s">
        <v>38</v>
      </c>
      <c r="E64" s="2" t="s">
        <v>220</v>
      </c>
      <c r="F64" s="2" t="s">
        <v>221</v>
      </c>
      <c r="G64" s="2" t="s">
        <v>27</v>
      </c>
      <c r="H64" s="2">
        <v>3</v>
      </c>
      <c r="I64" s="2" t="s">
        <v>19</v>
      </c>
      <c r="J64" s="2">
        <v>2</v>
      </c>
      <c r="K64" s="2" t="s">
        <v>21</v>
      </c>
      <c r="L64" s="2"/>
    </row>
    <row r="65" spans="1:12" x14ac:dyDescent="0.3">
      <c r="A65" s="3" t="s">
        <v>222</v>
      </c>
      <c r="B65" s="3" t="s">
        <v>30</v>
      </c>
      <c r="C65" s="3" t="s">
        <v>110</v>
      </c>
      <c r="D65" s="3" t="s">
        <v>165</v>
      </c>
      <c r="E65" s="3" t="s">
        <v>223</v>
      </c>
      <c r="F65" s="3" t="s">
        <v>174</v>
      </c>
      <c r="G65" s="3" t="s">
        <v>224</v>
      </c>
      <c r="H65" s="3">
        <v>8</v>
      </c>
      <c r="I65" s="2" t="s">
        <v>19</v>
      </c>
      <c r="J65" s="3">
        <v>1</v>
      </c>
      <c r="K65" s="3" t="s">
        <v>20</v>
      </c>
      <c r="L65" s="3"/>
    </row>
    <row r="66" spans="1:12" x14ac:dyDescent="0.3">
      <c r="A66" s="2" t="s">
        <v>225</v>
      </c>
      <c r="B66" s="5"/>
      <c r="C66" s="2" t="s">
        <v>110</v>
      </c>
      <c r="D66" s="2" t="s">
        <v>165</v>
      </c>
      <c r="E66" s="2" t="s">
        <v>226</v>
      </c>
      <c r="F66" s="2" t="s">
        <v>46</v>
      </c>
      <c r="G66" s="2" t="s">
        <v>125</v>
      </c>
      <c r="H66" s="2">
        <v>7</v>
      </c>
      <c r="I66" s="2" t="s">
        <v>19</v>
      </c>
      <c r="J66" s="2">
        <v>1</v>
      </c>
      <c r="K66" s="2" t="s">
        <v>20</v>
      </c>
      <c r="L66" s="2"/>
    </row>
    <row r="67" spans="1:12" x14ac:dyDescent="0.3">
      <c r="A67" s="3" t="s">
        <v>227</v>
      </c>
      <c r="B67" s="3" t="s">
        <v>13</v>
      </c>
      <c r="C67" s="3" t="s">
        <v>118</v>
      </c>
      <c r="D67" s="3" t="s">
        <v>165</v>
      </c>
      <c r="E67" s="3" t="s">
        <v>228</v>
      </c>
      <c r="F67" s="3" t="s">
        <v>98</v>
      </c>
      <c r="G67" s="3" t="s">
        <v>184</v>
      </c>
      <c r="H67" s="3">
        <v>8</v>
      </c>
      <c r="I67" s="2" t="s">
        <v>19</v>
      </c>
      <c r="J67" s="3">
        <v>2</v>
      </c>
      <c r="K67" s="3" t="s">
        <v>21</v>
      </c>
      <c r="L67" s="3"/>
    </row>
    <row r="68" spans="1:12" x14ac:dyDescent="0.3">
      <c r="A68" s="2" t="s">
        <v>229</v>
      </c>
      <c r="B68" s="2" t="s">
        <v>23</v>
      </c>
      <c r="C68" s="2" t="s">
        <v>44</v>
      </c>
      <c r="D68" s="2" t="s">
        <v>32</v>
      </c>
      <c r="E68" s="2" t="s">
        <v>230</v>
      </c>
      <c r="F68" s="2" t="s">
        <v>135</v>
      </c>
      <c r="G68" s="2" t="s">
        <v>231</v>
      </c>
      <c r="H68" s="2">
        <v>2</v>
      </c>
      <c r="I68" s="2" t="s">
        <v>19</v>
      </c>
      <c r="J68" s="2">
        <v>2</v>
      </c>
      <c r="K68" s="2" t="s">
        <v>21</v>
      </c>
      <c r="L68" s="2"/>
    </row>
    <row r="69" spans="1:12" x14ac:dyDescent="0.3">
      <c r="A69" s="3" t="s">
        <v>232</v>
      </c>
      <c r="B69" s="3" t="s">
        <v>142</v>
      </c>
      <c r="C69" s="3" t="s">
        <v>14</v>
      </c>
      <c r="D69" s="3" t="s">
        <v>38</v>
      </c>
      <c r="E69" s="3" t="s">
        <v>233</v>
      </c>
      <c r="F69" s="3" t="s">
        <v>151</v>
      </c>
      <c r="G69" s="3" t="s">
        <v>85</v>
      </c>
      <c r="H69" s="3">
        <v>3</v>
      </c>
      <c r="I69" s="2" t="s">
        <v>19</v>
      </c>
      <c r="J69" s="3">
        <v>1</v>
      </c>
      <c r="K69" s="3" t="s">
        <v>20</v>
      </c>
      <c r="L69" s="3"/>
    </row>
    <row r="70" spans="1:12" x14ac:dyDescent="0.3">
      <c r="A70" s="2" t="s">
        <v>234</v>
      </c>
      <c r="B70" s="2" t="s">
        <v>43</v>
      </c>
      <c r="C70" s="2" t="s">
        <v>118</v>
      </c>
      <c r="D70" s="2" t="s">
        <v>93</v>
      </c>
      <c r="E70" s="2" t="s">
        <v>146</v>
      </c>
      <c r="F70" s="2" t="s">
        <v>26</v>
      </c>
      <c r="G70" s="2" t="s">
        <v>148</v>
      </c>
      <c r="H70" s="2">
        <v>8</v>
      </c>
      <c r="I70" s="2" t="s">
        <v>19</v>
      </c>
      <c r="J70" s="2">
        <v>1</v>
      </c>
      <c r="K70" s="2" t="s">
        <v>20</v>
      </c>
      <c r="L70" s="2"/>
    </row>
    <row r="71" spans="1:12" x14ac:dyDescent="0.3">
      <c r="A71" s="3" t="s">
        <v>235</v>
      </c>
      <c r="B71" s="3" t="s">
        <v>13</v>
      </c>
      <c r="C71" s="3" t="s">
        <v>14</v>
      </c>
      <c r="D71" s="3" t="s">
        <v>138</v>
      </c>
      <c r="E71" s="3" t="s">
        <v>236</v>
      </c>
      <c r="F71" s="3" t="s">
        <v>115</v>
      </c>
      <c r="G71" s="3" t="s">
        <v>41</v>
      </c>
      <c r="H71" s="3">
        <v>6</v>
      </c>
      <c r="I71" s="2" t="s">
        <v>19</v>
      </c>
      <c r="J71" s="3">
        <v>1</v>
      </c>
      <c r="K71" s="3" t="s">
        <v>20</v>
      </c>
      <c r="L71" s="3"/>
    </row>
    <row r="72" spans="1:12" x14ac:dyDescent="0.3">
      <c r="A72" s="2" t="s">
        <v>237</v>
      </c>
      <c r="B72" s="2" t="s">
        <v>13</v>
      </c>
      <c r="C72" s="2" t="s">
        <v>70</v>
      </c>
      <c r="D72" s="2" t="s">
        <v>32</v>
      </c>
      <c r="E72" s="2" t="s">
        <v>238</v>
      </c>
      <c r="F72" s="2" t="s">
        <v>191</v>
      </c>
      <c r="G72" s="2" t="s">
        <v>239</v>
      </c>
      <c r="H72" s="2">
        <v>2</v>
      </c>
      <c r="I72" s="2" t="s">
        <v>19</v>
      </c>
      <c r="J72" s="2">
        <v>2</v>
      </c>
      <c r="K72" s="2" t="s">
        <v>21</v>
      </c>
      <c r="L72" s="2"/>
    </row>
    <row r="73" spans="1:12" x14ac:dyDescent="0.3">
      <c r="A73" s="3" t="s">
        <v>240</v>
      </c>
      <c r="B73" s="3" t="s">
        <v>142</v>
      </c>
      <c r="C73" s="3" t="s">
        <v>118</v>
      </c>
      <c r="D73" s="3" t="s">
        <v>138</v>
      </c>
      <c r="E73" s="3" t="s">
        <v>241</v>
      </c>
      <c r="F73" s="3" t="s">
        <v>64</v>
      </c>
      <c r="G73" s="3" t="s">
        <v>242</v>
      </c>
      <c r="H73" s="3">
        <v>6</v>
      </c>
      <c r="I73" s="2" t="s">
        <v>19</v>
      </c>
      <c r="J73" s="3">
        <v>2</v>
      </c>
      <c r="K73" s="3" t="s">
        <v>21</v>
      </c>
      <c r="L73" s="3"/>
    </row>
    <row r="74" spans="1:12" x14ac:dyDescent="0.3">
      <c r="A74" s="2" t="s">
        <v>243</v>
      </c>
      <c r="B74" s="2" t="s">
        <v>13</v>
      </c>
      <c r="C74" s="2" t="s">
        <v>118</v>
      </c>
      <c r="D74" s="2" t="s">
        <v>53</v>
      </c>
      <c r="E74" s="2" t="s">
        <v>244</v>
      </c>
      <c r="F74" s="2" t="s">
        <v>147</v>
      </c>
      <c r="G74" s="2" t="s">
        <v>18</v>
      </c>
      <c r="H74" s="2">
        <v>2</v>
      </c>
      <c r="I74" s="2" t="s">
        <v>19</v>
      </c>
      <c r="J74" s="2">
        <v>2</v>
      </c>
      <c r="K74" s="2" t="s">
        <v>21</v>
      </c>
      <c r="L74" s="2"/>
    </row>
    <row r="75" spans="1:12" x14ac:dyDescent="0.3">
      <c r="A75" s="3" t="s">
        <v>245</v>
      </c>
      <c r="B75" s="3" t="s">
        <v>30</v>
      </c>
      <c r="C75" s="3" t="s">
        <v>82</v>
      </c>
      <c r="D75" s="3" t="s">
        <v>38</v>
      </c>
      <c r="E75" s="3" t="s">
        <v>246</v>
      </c>
      <c r="F75" s="3" t="s">
        <v>17</v>
      </c>
      <c r="G75" s="3" t="s">
        <v>201</v>
      </c>
      <c r="H75" s="3">
        <v>3</v>
      </c>
      <c r="I75" s="2" t="s">
        <v>19</v>
      </c>
      <c r="J75" s="3">
        <v>2</v>
      </c>
      <c r="K75" s="3" t="s">
        <v>21</v>
      </c>
      <c r="L75" s="3"/>
    </row>
    <row r="76" spans="1:12" x14ac:dyDescent="0.3">
      <c r="A76" s="2" t="s">
        <v>247</v>
      </c>
      <c r="B76" s="2" t="s">
        <v>23</v>
      </c>
      <c r="C76" s="2" t="s">
        <v>44</v>
      </c>
      <c r="D76" s="2" t="s">
        <v>32</v>
      </c>
      <c r="E76" s="2" t="s">
        <v>248</v>
      </c>
      <c r="F76" s="2" t="s">
        <v>107</v>
      </c>
      <c r="G76" s="2" t="s">
        <v>249</v>
      </c>
      <c r="H76" s="2">
        <v>3</v>
      </c>
      <c r="I76" s="2" t="s">
        <v>19</v>
      </c>
      <c r="J76" s="2">
        <v>2</v>
      </c>
      <c r="K76" s="2" t="s">
        <v>21</v>
      </c>
      <c r="L76" s="2"/>
    </row>
    <row r="77" spans="1:12" x14ac:dyDescent="0.3">
      <c r="A77" s="3" t="s">
        <v>250</v>
      </c>
      <c r="B77" s="3" t="s">
        <v>142</v>
      </c>
      <c r="C77" s="3" t="s">
        <v>118</v>
      </c>
      <c r="D77" s="3" t="s">
        <v>165</v>
      </c>
      <c r="E77" s="3" t="s">
        <v>223</v>
      </c>
      <c r="F77" s="3" t="s">
        <v>112</v>
      </c>
      <c r="G77" s="3" t="s">
        <v>169</v>
      </c>
      <c r="H77" s="3">
        <v>8</v>
      </c>
      <c r="I77" s="2" t="s">
        <v>19</v>
      </c>
      <c r="J77" s="3">
        <v>2</v>
      </c>
      <c r="K77" s="3" t="s">
        <v>21</v>
      </c>
      <c r="L77" s="3"/>
    </row>
    <row r="78" spans="1:12" x14ac:dyDescent="0.3">
      <c r="A78" s="2" t="s">
        <v>251</v>
      </c>
      <c r="B78" s="2" t="s">
        <v>13</v>
      </c>
      <c r="C78" s="2" t="s">
        <v>44</v>
      </c>
      <c r="D78" s="2" t="s">
        <v>38</v>
      </c>
      <c r="E78" s="2" t="s">
        <v>252</v>
      </c>
      <c r="F78" s="2" t="s">
        <v>115</v>
      </c>
      <c r="G78" s="2" t="s">
        <v>154</v>
      </c>
      <c r="H78" s="2">
        <v>6</v>
      </c>
      <c r="I78" s="2" t="s">
        <v>19</v>
      </c>
      <c r="J78" s="2">
        <v>1</v>
      </c>
      <c r="K78" s="2" t="s">
        <v>20</v>
      </c>
      <c r="L78" s="2"/>
    </row>
    <row r="79" spans="1:12" x14ac:dyDescent="0.3">
      <c r="A79" s="3" t="s">
        <v>253</v>
      </c>
      <c r="B79" s="3" t="s">
        <v>23</v>
      </c>
      <c r="C79" s="3" t="s">
        <v>82</v>
      </c>
      <c r="D79" s="3" t="s">
        <v>138</v>
      </c>
      <c r="E79" s="3" t="s">
        <v>254</v>
      </c>
      <c r="F79" s="3" t="s">
        <v>255</v>
      </c>
      <c r="G79" s="3" t="s">
        <v>256</v>
      </c>
      <c r="H79" s="3">
        <v>4</v>
      </c>
      <c r="I79" s="2" t="s">
        <v>19</v>
      </c>
      <c r="J79" s="3">
        <v>2</v>
      </c>
      <c r="K79" s="3" t="s">
        <v>21</v>
      </c>
      <c r="L79" s="3"/>
    </row>
    <row r="80" spans="1:12" x14ac:dyDescent="0.3">
      <c r="A80" s="2" t="s">
        <v>257</v>
      </c>
      <c r="B80" s="2" t="s">
        <v>58</v>
      </c>
      <c r="C80" s="2" t="s">
        <v>82</v>
      </c>
      <c r="D80" s="2" t="s">
        <v>38</v>
      </c>
      <c r="E80" s="2" t="s">
        <v>246</v>
      </c>
      <c r="F80" s="2" t="s">
        <v>258</v>
      </c>
      <c r="G80" s="2" t="s">
        <v>95</v>
      </c>
      <c r="H80" s="2">
        <v>3</v>
      </c>
      <c r="I80" s="2" t="s">
        <v>19</v>
      </c>
      <c r="J80" s="2">
        <v>2</v>
      </c>
      <c r="K80" s="2" t="s">
        <v>21</v>
      </c>
      <c r="L80" s="2"/>
    </row>
    <row r="81" spans="1:12" x14ac:dyDescent="0.3">
      <c r="A81" s="3" t="s">
        <v>259</v>
      </c>
      <c r="B81" s="3" t="s">
        <v>13</v>
      </c>
      <c r="C81" s="3" t="s">
        <v>70</v>
      </c>
      <c r="D81" s="3" t="s">
        <v>138</v>
      </c>
      <c r="E81" s="3" t="s">
        <v>139</v>
      </c>
      <c r="F81" s="3" t="s">
        <v>107</v>
      </c>
      <c r="G81" s="3" t="s">
        <v>260</v>
      </c>
      <c r="H81" s="3">
        <v>3</v>
      </c>
      <c r="I81" s="2" t="s">
        <v>19</v>
      </c>
      <c r="J81" s="3">
        <v>2</v>
      </c>
      <c r="K81" s="3" t="s">
        <v>21</v>
      </c>
      <c r="L81" s="3"/>
    </row>
    <row r="82" spans="1:12" x14ac:dyDescent="0.3">
      <c r="A82" s="2" t="s">
        <v>261</v>
      </c>
      <c r="B82" s="2" t="s">
        <v>43</v>
      </c>
      <c r="C82" s="2" t="s">
        <v>31</v>
      </c>
      <c r="D82" s="2" t="s">
        <v>93</v>
      </c>
      <c r="E82" s="2" t="s">
        <v>262</v>
      </c>
      <c r="F82" s="2" t="s">
        <v>162</v>
      </c>
      <c r="G82" s="2" t="s">
        <v>231</v>
      </c>
      <c r="H82" s="2">
        <v>7</v>
      </c>
      <c r="I82" s="2" t="s">
        <v>19</v>
      </c>
      <c r="J82" s="2">
        <v>1</v>
      </c>
      <c r="K82" s="2" t="s">
        <v>20</v>
      </c>
      <c r="L82" s="2"/>
    </row>
    <row r="83" spans="1:12" x14ac:dyDescent="0.3">
      <c r="A83" s="3" t="s">
        <v>263</v>
      </c>
      <c r="B83" s="3" t="s">
        <v>23</v>
      </c>
      <c r="C83" s="3" t="s">
        <v>44</v>
      </c>
      <c r="D83" s="3" t="s">
        <v>165</v>
      </c>
      <c r="E83" s="3" t="s">
        <v>264</v>
      </c>
      <c r="F83" s="3" t="s">
        <v>72</v>
      </c>
      <c r="G83" s="3" t="s">
        <v>210</v>
      </c>
      <c r="H83" s="3">
        <v>8</v>
      </c>
      <c r="I83" s="2" t="s">
        <v>19</v>
      </c>
      <c r="J83" s="3">
        <v>1</v>
      </c>
      <c r="K83" s="3" t="s">
        <v>20</v>
      </c>
      <c r="L83" s="3"/>
    </row>
    <row r="84" spans="1:12" x14ac:dyDescent="0.3">
      <c r="A84" s="2" t="s">
        <v>265</v>
      </c>
      <c r="B84" s="2" t="s">
        <v>58</v>
      </c>
      <c r="C84" s="2" t="s">
        <v>44</v>
      </c>
      <c r="D84" s="2" t="s">
        <v>15</v>
      </c>
      <c r="E84" s="2" t="s">
        <v>266</v>
      </c>
      <c r="F84" s="2" t="s">
        <v>115</v>
      </c>
      <c r="G84" s="2" t="s">
        <v>184</v>
      </c>
      <c r="H84" s="2">
        <v>8</v>
      </c>
      <c r="I84" s="2" t="s">
        <v>19</v>
      </c>
      <c r="J84" s="2">
        <v>1</v>
      </c>
      <c r="K84" s="2" t="s">
        <v>20</v>
      </c>
      <c r="L84" s="2"/>
    </row>
    <row r="85" spans="1:12" x14ac:dyDescent="0.3">
      <c r="A85" s="3" t="s">
        <v>267</v>
      </c>
      <c r="B85" s="3" t="s">
        <v>30</v>
      </c>
      <c r="C85" s="3" t="s">
        <v>70</v>
      </c>
      <c r="D85" s="3" t="s">
        <v>32</v>
      </c>
      <c r="E85" s="3" t="s">
        <v>268</v>
      </c>
      <c r="F85" s="3" t="s">
        <v>177</v>
      </c>
      <c r="G85" s="3" t="s">
        <v>61</v>
      </c>
      <c r="H85" s="3">
        <v>8</v>
      </c>
      <c r="I85" s="2" t="s">
        <v>19</v>
      </c>
      <c r="J85" s="3">
        <v>1</v>
      </c>
      <c r="K85" s="3" t="s">
        <v>20</v>
      </c>
      <c r="L85" s="3"/>
    </row>
    <row r="86" spans="1:12" x14ac:dyDescent="0.3">
      <c r="A86" s="2" t="s">
        <v>269</v>
      </c>
      <c r="B86" s="2" t="s">
        <v>142</v>
      </c>
      <c r="C86" s="2" t="s">
        <v>14</v>
      </c>
      <c r="D86" s="2" t="s">
        <v>93</v>
      </c>
      <c r="E86" s="2" t="s">
        <v>270</v>
      </c>
      <c r="F86" s="2" t="s">
        <v>271</v>
      </c>
      <c r="G86" s="2" t="s">
        <v>260</v>
      </c>
      <c r="H86" s="2">
        <v>1</v>
      </c>
      <c r="I86" s="2" t="s">
        <v>19</v>
      </c>
      <c r="J86" s="2">
        <v>1</v>
      </c>
      <c r="K86" s="2" t="s">
        <v>20</v>
      </c>
      <c r="L86" s="2"/>
    </row>
    <row r="87" spans="1:12" x14ac:dyDescent="0.3">
      <c r="A87" s="3" t="s">
        <v>272</v>
      </c>
      <c r="B87" s="3" t="s">
        <v>58</v>
      </c>
      <c r="C87" s="3" t="s">
        <v>14</v>
      </c>
      <c r="D87" s="3" t="s">
        <v>15</v>
      </c>
      <c r="E87" s="3" t="s">
        <v>273</v>
      </c>
      <c r="F87" s="3" t="s">
        <v>115</v>
      </c>
      <c r="G87" s="3" t="s">
        <v>210</v>
      </c>
      <c r="H87" s="3">
        <v>1</v>
      </c>
      <c r="I87" s="2" t="s">
        <v>19</v>
      </c>
      <c r="J87" s="3">
        <v>2</v>
      </c>
      <c r="K87" s="3" t="s">
        <v>21</v>
      </c>
      <c r="L87" s="3"/>
    </row>
    <row r="88" spans="1:12" x14ac:dyDescent="0.3">
      <c r="A88" s="2" t="s">
        <v>274</v>
      </c>
      <c r="B88" s="2" t="s">
        <v>23</v>
      </c>
      <c r="C88" s="2" t="s">
        <v>14</v>
      </c>
      <c r="D88" s="2" t="s">
        <v>24</v>
      </c>
      <c r="E88" s="2" t="s">
        <v>275</v>
      </c>
      <c r="F88" s="2" t="s">
        <v>209</v>
      </c>
      <c r="G88" s="2" t="s">
        <v>231</v>
      </c>
      <c r="H88" s="2">
        <v>1</v>
      </c>
      <c r="I88" s="2" t="s">
        <v>19</v>
      </c>
      <c r="J88" s="2">
        <v>2</v>
      </c>
      <c r="K88" s="2" t="s">
        <v>21</v>
      </c>
      <c r="L88" s="2"/>
    </row>
    <row r="89" spans="1:12" x14ac:dyDescent="0.3">
      <c r="A89" s="3" t="s">
        <v>276</v>
      </c>
      <c r="B89" s="3" t="s">
        <v>58</v>
      </c>
      <c r="C89" s="3" t="s">
        <v>82</v>
      </c>
      <c r="D89" s="3" t="s">
        <v>38</v>
      </c>
      <c r="E89" s="3" t="s">
        <v>277</v>
      </c>
      <c r="F89" s="3" t="s">
        <v>107</v>
      </c>
      <c r="G89" s="3" t="s">
        <v>73</v>
      </c>
      <c r="H89" s="3">
        <v>6</v>
      </c>
      <c r="I89" s="2" t="s">
        <v>19</v>
      </c>
      <c r="J89" s="3">
        <v>2</v>
      </c>
      <c r="K89" s="3" t="s">
        <v>21</v>
      </c>
      <c r="L89" s="3"/>
    </row>
    <row r="90" spans="1:12" x14ac:dyDescent="0.3">
      <c r="A90" s="2" t="s">
        <v>278</v>
      </c>
      <c r="B90" s="2" t="s">
        <v>23</v>
      </c>
      <c r="C90" s="2" t="s">
        <v>37</v>
      </c>
      <c r="D90" s="2" t="s">
        <v>53</v>
      </c>
      <c r="E90" s="2" t="s">
        <v>176</v>
      </c>
      <c r="F90" s="2" t="s">
        <v>258</v>
      </c>
      <c r="G90" s="2" t="s">
        <v>65</v>
      </c>
      <c r="H90" s="2">
        <v>2</v>
      </c>
      <c r="I90" s="2" t="s">
        <v>19</v>
      </c>
      <c r="J90" s="2">
        <v>1</v>
      </c>
      <c r="K90" s="2" t="s">
        <v>20</v>
      </c>
      <c r="L90" s="2"/>
    </row>
    <row r="91" spans="1:12" x14ac:dyDescent="0.3">
      <c r="A91" s="3" t="s">
        <v>279</v>
      </c>
      <c r="B91" s="3" t="s">
        <v>43</v>
      </c>
      <c r="C91" s="3" t="s">
        <v>160</v>
      </c>
      <c r="D91" s="3" t="s">
        <v>38</v>
      </c>
      <c r="E91" s="3" t="s">
        <v>252</v>
      </c>
      <c r="F91" s="3" t="s">
        <v>115</v>
      </c>
      <c r="G91" s="3" t="s">
        <v>280</v>
      </c>
      <c r="H91" s="3">
        <v>8</v>
      </c>
      <c r="I91" s="2" t="s">
        <v>19</v>
      </c>
      <c r="J91" s="3">
        <v>2</v>
      </c>
      <c r="K91" s="3" t="s">
        <v>21</v>
      </c>
      <c r="L91" s="3"/>
    </row>
    <row r="92" spans="1:12" x14ac:dyDescent="0.3">
      <c r="A92" s="2" t="s">
        <v>281</v>
      </c>
      <c r="B92" s="2" t="s">
        <v>43</v>
      </c>
      <c r="C92" s="2" t="s">
        <v>31</v>
      </c>
      <c r="D92" s="2" t="s">
        <v>93</v>
      </c>
      <c r="E92" s="2" t="s">
        <v>282</v>
      </c>
      <c r="F92" s="2" t="s">
        <v>51</v>
      </c>
      <c r="G92" s="2" t="s">
        <v>242</v>
      </c>
      <c r="H92" s="2">
        <v>7</v>
      </c>
      <c r="I92" s="2" t="s">
        <v>19</v>
      </c>
      <c r="J92" s="2">
        <v>2</v>
      </c>
      <c r="K92" s="2" t="s">
        <v>21</v>
      </c>
      <c r="L92" s="2"/>
    </row>
    <row r="93" spans="1:12" x14ac:dyDescent="0.3">
      <c r="A93" s="3" t="s">
        <v>283</v>
      </c>
      <c r="B93" s="3" t="s">
        <v>142</v>
      </c>
      <c r="C93" s="3" t="s">
        <v>160</v>
      </c>
      <c r="D93" s="3" t="s">
        <v>15</v>
      </c>
      <c r="E93" s="3" t="s">
        <v>284</v>
      </c>
      <c r="F93" s="3" t="s">
        <v>162</v>
      </c>
      <c r="G93" s="3" t="s">
        <v>231</v>
      </c>
      <c r="H93" s="3">
        <v>8</v>
      </c>
      <c r="I93" s="2" t="s">
        <v>19</v>
      </c>
      <c r="J93" s="3">
        <v>2</v>
      </c>
      <c r="K93" s="3" t="s">
        <v>21</v>
      </c>
      <c r="L93" s="3"/>
    </row>
    <row r="94" spans="1:12" x14ac:dyDescent="0.3">
      <c r="A94" s="2" t="s">
        <v>285</v>
      </c>
      <c r="B94" s="2" t="s">
        <v>58</v>
      </c>
      <c r="C94" s="2" t="s">
        <v>118</v>
      </c>
      <c r="D94" s="2" t="s">
        <v>93</v>
      </c>
      <c r="E94" s="2" t="s">
        <v>286</v>
      </c>
      <c r="F94" s="2" t="s">
        <v>34</v>
      </c>
      <c r="G94" s="2" t="s">
        <v>287</v>
      </c>
      <c r="H94" s="2">
        <v>2</v>
      </c>
      <c r="I94" s="2" t="s">
        <v>19</v>
      </c>
      <c r="J94" s="2">
        <v>1</v>
      </c>
      <c r="K94" s="2" t="s">
        <v>20</v>
      </c>
      <c r="L94" s="2"/>
    </row>
    <row r="95" spans="1:12" x14ac:dyDescent="0.3">
      <c r="A95" s="3" t="s">
        <v>288</v>
      </c>
      <c r="B95" s="3" t="s">
        <v>23</v>
      </c>
      <c r="C95" s="3" t="s">
        <v>70</v>
      </c>
      <c r="D95" s="3" t="s">
        <v>93</v>
      </c>
      <c r="E95" s="3" t="s">
        <v>94</v>
      </c>
      <c r="F95" s="3" t="s">
        <v>258</v>
      </c>
      <c r="G95" s="3" t="s">
        <v>239</v>
      </c>
      <c r="H95" s="3">
        <v>6</v>
      </c>
      <c r="I95" s="2" t="s">
        <v>19</v>
      </c>
      <c r="J95" s="3">
        <v>2</v>
      </c>
      <c r="K95" s="3" t="s">
        <v>21</v>
      </c>
      <c r="L95" s="3"/>
    </row>
    <row r="96" spans="1:12" x14ac:dyDescent="0.3">
      <c r="A96" s="2" t="s">
        <v>289</v>
      </c>
      <c r="B96" s="2" t="s">
        <v>23</v>
      </c>
      <c r="C96" s="2" t="s">
        <v>70</v>
      </c>
      <c r="D96" s="2" t="s">
        <v>38</v>
      </c>
      <c r="E96" s="2" t="s">
        <v>290</v>
      </c>
      <c r="F96" s="2" t="s">
        <v>174</v>
      </c>
      <c r="G96" s="2" t="s">
        <v>287</v>
      </c>
      <c r="H96" s="2">
        <v>2</v>
      </c>
      <c r="I96" s="2" t="s">
        <v>19</v>
      </c>
      <c r="J96" s="2">
        <v>2</v>
      </c>
      <c r="K96" s="2" t="s">
        <v>21</v>
      </c>
      <c r="L96" s="2"/>
    </row>
    <row r="97" spans="1:12" x14ac:dyDescent="0.3">
      <c r="A97" s="3" t="s">
        <v>291</v>
      </c>
      <c r="B97" s="3" t="s">
        <v>142</v>
      </c>
      <c r="C97" s="3" t="s">
        <v>70</v>
      </c>
      <c r="D97" s="3" t="s">
        <v>38</v>
      </c>
      <c r="E97" s="3" t="s">
        <v>79</v>
      </c>
      <c r="F97" s="3" t="s">
        <v>221</v>
      </c>
      <c r="G97" s="3" t="s">
        <v>242</v>
      </c>
      <c r="H97" s="3">
        <v>5</v>
      </c>
      <c r="I97" s="2" t="s">
        <v>19</v>
      </c>
      <c r="J97" s="3">
        <v>2</v>
      </c>
      <c r="K97" s="3" t="s">
        <v>21</v>
      </c>
      <c r="L97" s="3"/>
    </row>
    <row r="98" spans="1:12" x14ac:dyDescent="0.3">
      <c r="A98" s="2" t="s">
        <v>292</v>
      </c>
      <c r="B98" s="2" t="s">
        <v>43</v>
      </c>
      <c r="C98" s="2" t="s">
        <v>31</v>
      </c>
      <c r="D98" s="2" t="s">
        <v>38</v>
      </c>
      <c r="E98" s="2" t="s">
        <v>252</v>
      </c>
      <c r="F98" s="2" t="s">
        <v>68</v>
      </c>
      <c r="G98" s="2" t="s">
        <v>287</v>
      </c>
      <c r="H98" s="2">
        <v>3</v>
      </c>
      <c r="I98" s="2" t="s">
        <v>19</v>
      </c>
      <c r="J98" s="2">
        <v>1</v>
      </c>
      <c r="K98" s="2" t="s">
        <v>20</v>
      </c>
      <c r="L98" s="2"/>
    </row>
    <row r="99" spans="1:12" x14ac:dyDescent="0.3">
      <c r="A99" s="3" t="s">
        <v>293</v>
      </c>
      <c r="B99" s="3" t="s">
        <v>30</v>
      </c>
      <c r="C99" s="3" t="s">
        <v>31</v>
      </c>
      <c r="D99" s="3" t="s">
        <v>138</v>
      </c>
      <c r="E99" s="3" t="s">
        <v>294</v>
      </c>
      <c r="F99" s="3" t="s">
        <v>151</v>
      </c>
      <c r="G99" s="3" t="s">
        <v>148</v>
      </c>
      <c r="H99" s="3">
        <v>3</v>
      </c>
      <c r="I99" s="2" t="s">
        <v>19</v>
      </c>
      <c r="J99" s="3">
        <v>1</v>
      </c>
      <c r="K99" s="3" t="s">
        <v>20</v>
      </c>
      <c r="L99" s="3"/>
    </row>
    <row r="100" spans="1:12" x14ac:dyDescent="0.3">
      <c r="A100" s="2" t="s">
        <v>295</v>
      </c>
      <c r="B100" s="2" t="s">
        <v>142</v>
      </c>
      <c r="C100" s="2" t="s">
        <v>160</v>
      </c>
      <c r="D100" s="2" t="s">
        <v>38</v>
      </c>
      <c r="E100" s="2" t="s">
        <v>296</v>
      </c>
      <c r="F100" s="2" t="s">
        <v>98</v>
      </c>
      <c r="G100" s="2" t="s">
        <v>297</v>
      </c>
      <c r="H100" s="2">
        <v>7</v>
      </c>
      <c r="I100" s="2" t="s">
        <v>19</v>
      </c>
      <c r="J100" s="2">
        <v>1</v>
      </c>
      <c r="K100" s="2" t="s">
        <v>20</v>
      </c>
      <c r="L100" s="2"/>
    </row>
    <row r="101" spans="1:12" x14ac:dyDescent="0.3">
      <c r="A101" s="3" t="s">
        <v>298</v>
      </c>
      <c r="B101" s="3" t="s">
        <v>142</v>
      </c>
      <c r="C101" s="3" t="s">
        <v>82</v>
      </c>
      <c r="D101" s="3" t="s">
        <v>38</v>
      </c>
      <c r="E101" s="3" t="s">
        <v>299</v>
      </c>
      <c r="F101" s="3" t="s">
        <v>40</v>
      </c>
      <c r="G101" s="3" t="s">
        <v>122</v>
      </c>
      <c r="H101" s="3">
        <v>3</v>
      </c>
      <c r="I101" s="2" t="s">
        <v>19</v>
      </c>
      <c r="J101" s="3">
        <v>2</v>
      </c>
      <c r="K101" s="3" t="s">
        <v>21</v>
      </c>
      <c r="L101" s="3"/>
    </row>
    <row r="102" spans="1:12" x14ac:dyDescent="0.3">
      <c r="A102" s="2" t="s">
        <v>62</v>
      </c>
      <c r="B102" s="2" t="s">
        <v>58</v>
      </c>
      <c r="C102" s="2" t="s">
        <v>44</v>
      </c>
      <c r="D102" s="2" t="s">
        <v>15</v>
      </c>
      <c r="E102" s="2" t="s">
        <v>63</v>
      </c>
      <c r="F102" s="2" t="s">
        <v>64</v>
      </c>
      <c r="G102" s="2" t="s">
        <v>65</v>
      </c>
      <c r="H102" s="2">
        <v>8</v>
      </c>
      <c r="I102" s="2" t="s">
        <v>19</v>
      </c>
      <c r="J102" s="2">
        <v>2</v>
      </c>
      <c r="K102" s="2" t="s">
        <v>21</v>
      </c>
      <c r="L102" s="2"/>
    </row>
    <row r="103" spans="1:12" x14ac:dyDescent="0.3">
      <c r="A103" s="3" t="s">
        <v>222</v>
      </c>
      <c r="B103" s="3" t="s">
        <v>30</v>
      </c>
      <c r="C103" s="3" t="s">
        <v>110</v>
      </c>
      <c r="D103" s="3" t="s">
        <v>165</v>
      </c>
      <c r="E103" s="3" t="s">
        <v>223</v>
      </c>
      <c r="F103" s="3" t="s">
        <v>174</v>
      </c>
      <c r="G103" s="3" t="s">
        <v>224</v>
      </c>
      <c r="H103" s="3">
        <v>8</v>
      </c>
      <c r="I103" s="2" t="s">
        <v>19</v>
      </c>
      <c r="J103" s="3">
        <v>1</v>
      </c>
      <c r="K103" s="3" t="s">
        <v>20</v>
      </c>
      <c r="L103" s="3"/>
    </row>
    <row r="104" spans="1:12" x14ac:dyDescent="0.3">
      <c r="A104" s="3" t="s">
        <v>267</v>
      </c>
      <c r="B104" s="3" t="s">
        <v>30</v>
      </c>
      <c r="C104" s="3" t="s">
        <v>70</v>
      </c>
      <c r="D104" s="3" t="s">
        <v>32</v>
      </c>
      <c r="E104" s="3" t="s">
        <v>268</v>
      </c>
      <c r="F104" s="3" t="s">
        <v>177</v>
      </c>
      <c r="G104" s="3" t="s">
        <v>61</v>
      </c>
      <c r="H104" s="3">
        <v>8</v>
      </c>
      <c r="I104" s="2" t="s">
        <v>19</v>
      </c>
      <c r="J104" s="3">
        <v>1</v>
      </c>
      <c r="K104" s="3" t="s">
        <v>20</v>
      </c>
      <c r="L104" s="3"/>
    </row>
    <row r="105" spans="1:12" x14ac:dyDescent="0.3">
      <c r="A105" s="3" t="s">
        <v>88</v>
      </c>
      <c r="B105" s="3" t="s">
        <v>58</v>
      </c>
      <c r="C105" s="3" t="s">
        <v>44</v>
      </c>
      <c r="D105" s="3" t="s">
        <v>24</v>
      </c>
      <c r="E105" s="3" t="s">
        <v>89</v>
      </c>
      <c r="F105" s="3" t="s">
        <v>90</v>
      </c>
      <c r="G105" s="3" t="s">
        <v>91</v>
      </c>
      <c r="H105" s="3">
        <v>1</v>
      </c>
      <c r="I105" s="2" t="s">
        <v>19</v>
      </c>
      <c r="J105" s="3">
        <v>2</v>
      </c>
      <c r="K105" s="3" t="s">
        <v>21</v>
      </c>
      <c r="L105" s="3"/>
    </row>
    <row r="106" spans="1:12" x14ac:dyDescent="0.3">
      <c r="A106" s="3" t="s">
        <v>183</v>
      </c>
      <c r="B106" s="3" t="s">
        <v>23</v>
      </c>
      <c r="C106" s="3" t="s">
        <v>31</v>
      </c>
      <c r="D106" s="3" t="s">
        <v>24</v>
      </c>
      <c r="E106" s="3" t="s">
        <v>156</v>
      </c>
      <c r="F106" s="3" t="s">
        <v>157</v>
      </c>
      <c r="G106" s="3" t="s">
        <v>184</v>
      </c>
      <c r="H106" s="3">
        <v>4</v>
      </c>
      <c r="I106" s="2" t="s">
        <v>19</v>
      </c>
      <c r="J106" s="3">
        <v>2</v>
      </c>
      <c r="K106" s="3" t="s">
        <v>21</v>
      </c>
      <c r="L106" s="3"/>
    </row>
    <row r="107" spans="1:12" x14ac:dyDescent="0.3">
      <c r="A107" s="2" t="s">
        <v>217</v>
      </c>
      <c r="B107" s="2" t="s">
        <v>13</v>
      </c>
      <c r="C107" s="2" t="s">
        <v>37</v>
      </c>
      <c r="D107" s="2" t="s">
        <v>24</v>
      </c>
      <c r="E107" s="2" t="s">
        <v>103</v>
      </c>
      <c r="F107" s="2" t="s">
        <v>64</v>
      </c>
      <c r="G107" s="2" t="s">
        <v>132</v>
      </c>
      <c r="H107" s="2">
        <v>2</v>
      </c>
      <c r="I107" s="2" t="s">
        <v>19</v>
      </c>
      <c r="J107" s="2">
        <v>1</v>
      </c>
      <c r="K107" s="2" t="s">
        <v>20</v>
      </c>
      <c r="L107" s="2"/>
    </row>
  </sheetData>
  <dataValidations count="1">
    <dataValidation type="list" allowBlank="1" showInputMessage="1" showErrorMessage="1" sqref="I2:I107" xr:uid="{75747667-CC1D-4655-A2B0-7BED81C50A70}">
      <formula1>"A,B,C,D"</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4495-E49B-4A05-8B01-40994EEBC858}">
  <sheetPr codeName="Sheet2"/>
  <dimension ref="A1:P101"/>
  <sheetViews>
    <sheetView zoomScale="62" workbookViewId="0">
      <selection activeCell="L2" sqref="L2"/>
    </sheetView>
  </sheetViews>
  <sheetFormatPr defaultRowHeight="14.4" x14ac:dyDescent="0.3"/>
  <cols>
    <col min="1" max="1" width="10.6640625" bestFit="1" customWidth="1"/>
    <col min="2" max="2" width="16.109375" bestFit="1" customWidth="1"/>
    <col min="3" max="3" width="12.44140625" bestFit="1" customWidth="1"/>
    <col min="4" max="4" width="17.5546875" bestFit="1" customWidth="1"/>
    <col min="5" max="5" width="17.33203125" bestFit="1" customWidth="1"/>
    <col min="6" max="6" width="19.33203125" bestFit="1" customWidth="1"/>
    <col min="7" max="7" width="20.44140625" bestFit="1" customWidth="1"/>
    <col min="8" max="8" width="17" bestFit="1" customWidth="1"/>
    <col min="9" max="9" width="20.33203125" bestFit="1" customWidth="1"/>
    <col min="10" max="10" width="20" bestFit="1" customWidth="1"/>
    <col min="11" max="11" width="16.88671875" bestFit="1" customWidth="1"/>
    <col min="12" max="12" width="19.109375" bestFit="1" customWidth="1"/>
    <col min="13" max="13" width="14.6640625" bestFit="1" customWidth="1"/>
    <col min="14" max="14" width="10.44140625" bestFit="1" customWidth="1"/>
    <col min="15" max="15" width="15.88671875" bestFit="1" customWidth="1"/>
    <col min="16" max="16" width="22" customWidth="1"/>
  </cols>
  <sheetData>
    <row r="1" spans="1:16" x14ac:dyDescent="0.3">
      <c r="A1" s="7" t="s">
        <v>6</v>
      </c>
      <c r="B1" s="7" t="s">
        <v>300</v>
      </c>
      <c r="C1" s="7" t="s">
        <v>3</v>
      </c>
      <c r="D1" s="7" t="s">
        <v>301</v>
      </c>
      <c r="E1" s="7" t="s">
        <v>302</v>
      </c>
      <c r="F1" s="7" t="s">
        <v>303</v>
      </c>
      <c r="G1" s="7" t="s">
        <v>304</v>
      </c>
      <c r="H1" s="7" t="s">
        <v>305</v>
      </c>
      <c r="I1" s="7" t="s">
        <v>306</v>
      </c>
      <c r="J1" s="7" t="s">
        <v>307</v>
      </c>
      <c r="K1" s="7" t="s">
        <v>308</v>
      </c>
      <c r="L1" s="7" t="s">
        <v>309</v>
      </c>
      <c r="M1" s="7" t="s">
        <v>310</v>
      </c>
      <c r="N1" s="7" t="s">
        <v>7</v>
      </c>
      <c r="O1" s="7" t="s">
        <v>311</v>
      </c>
      <c r="P1" s="7" t="s">
        <v>312</v>
      </c>
    </row>
    <row r="2" spans="1:16" x14ac:dyDescent="0.3">
      <c r="A2" s="8" t="s">
        <v>73</v>
      </c>
      <c r="B2" s="8" t="s">
        <v>313</v>
      </c>
      <c r="C2" s="8" t="s">
        <v>165</v>
      </c>
      <c r="D2" s="8" t="s">
        <v>314</v>
      </c>
      <c r="E2" s="8">
        <v>5</v>
      </c>
      <c r="F2" s="8">
        <v>4</v>
      </c>
      <c r="G2" s="8">
        <v>16</v>
      </c>
      <c r="H2" s="8">
        <v>5</v>
      </c>
      <c r="I2" s="8">
        <v>21</v>
      </c>
      <c r="J2" s="8">
        <v>20</v>
      </c>
      <c r="K2" s="8"/>
      <c r="L2" s="8" t="s">
        <v>315</v>
      </c>
      <c r="M2" s="8"/>
      <c r="N2" s="8" t="s">
        <v>316</v>
      </c>
      <c r="O2" s="8" t="s">
        <v>317</v>
      </c>
      <c r="P2" s="8"/>
    </row>
    <row r="3" spans="1:16" x14ac:dyDescent="0.3">
      <c r="A3" s="8" t="s">
        <v>318</v>
      </c>
      <c r="B3" s="8" t="s">
        <v>319</v>
      </c>
      <c r="C3" s="8" t="s">
        <v>165</v>
      </c>
      <c r="D3" s="8" t="s">
        <v>320</v>
      </c>
      <c r="E3" s="8">
        <v>19</v>
      </c>
      <c r="F3" s="8">
        <v>4</v>
      </c>
      <c r="G3" s="8">
        <v>17</v>
      </c>
      <c r="H3" s="8">
        <v>3</v>
      </c>
      <c r="I3" s="8">
        <v>20</v>
      </c>
      <c r="J3" s="8">
        <v>20</v>
      </c>
      <c r="K3" s="8"/>
      <c r="L3" s="8" t="s">
        <v>315</v>
      </c>
      <c r="M3" s="8"/>
      <c r="N3" s="8" t="s">
        <v>316</v>
      </c>
      <c r="O3" s="8" t="s">
        <v>317</v>
      </c>
      <c r="P3" s="8"/>
    </row>
    <row r="4" spans="1:16" x14ac:dyDescent="0.3">
      <c r="A4" s="8" t="s">
        <v>144</v>
      </c>
      <c r="B4" s="8" t="s">
        <v>321</v>
      </c>
      <c r="C4" s="8" t="s">
        <v>165</v>
      </c>
      <c r="D4" s="8" t="s">
        <v>322</v>
      </c>
      <c r="E4" s="8">
        <v>14</v>
      </c>
      <c r="F4" s="8">
        <v>1</v>
      </c>
      <c r="G4" s="8">
        <v>11</v>
      </c>
      <c r="H4" s="8">
        <v>3</v>
      </c>
      <c r="I4" s="8">
        <v>14</v>
      </c>
      <c r="J4" s="8">
        <v>18</v>
      </c>
      <c r="K4" s="8"/>
      <c r="L4" s="8" t="s">
        <v>323</v>
      </c>
      <c r="M4" s="8"/>
      <c r="N4" s="8" t="s">
        <v>324</v>
      </c>
      <c r="O4" s="8" t="s">
        <v>325</v>
      </c>
      <c r="P4" s="8"/>
    </row>
    <row r="5" spans="1:16" x14ac:dyDescent="0.3">
      <c r="A5" s="8" t="s">
        <v>326</v>
      </c>
      <c r="B5" s="8" t="s">
        <v>327</v>
      </c>
      <c r="C5" s="8" t="s">
        <v>24</v>
      </c>
      <c r="D5" s="8" t="s">
        <v>322</v>
      </c>
      <c r="E5" s="8">
        <v>3</v>
      </c>
      <c r="F5" s="8">
        <v>1</v>
      </c>
      <c r="G5" s="8">
        <v>16</v>
      </c>
      <c r="H5" s="8">
        <v>4</v>
      </c>
      <c r="I5" s="8">
        <v>20</v>
      </c>
      <c r="J5" s="8">
        <v>18</v>
      </c>
      <c r="K5" s="8"/>
      <c r="L5" s="8" t="s">
        <v>328</v>
      </c>
      <c r="M5" s="8"/>
      <c r="N5" s="8" t="s">
        <v>316</v>
      </c>
      <c r="O5" s="8" t="s">
        <v>329</v>
      </c>
      <c r="P5" s="8"/>
    </row>
    <row r="6" spans="1:16" x14ac:dyDescent="0.3">
      <c r="A6" s="8" t="s">
        <v>65</v>
      </c>
      <c r="B6" s="8" t="s">
        <v>330</v>
      </c>
      <c r="C6" s="8" t="s">
        <v>32</v>
      </c>
      <c r="D6" s="8" t="s">
        <v>322</v>
      </c>
      <c r="E6" s="8">
        <v>6</v>
      </c>
      <c r="F6" s="8">
        <v>2</v>
      </c>
      <c r="G6" s="8">
        <v>18</v>
      </c>
      <c r="H6" s="8">
        <v>0</v>
      </c>
      <c r="I6" s="8">
        <v>18</v>
      </c>
      <c r="J6" s="8">
        <v>18</v>
      </c>
      <c r="K6" s="8"/>
      <c r="L6" s="8" t="s">
        <v>331</v>
      </c>
      <c r="M6" s="8"/>
      <c r="N6" s="8" t="s">
        <v>316</v>
      </c>
      <c r="O6" s="8" t="s">
        <v>329</v>
      </c>
      <c r="P6" s="8"/>
    </row>
    <row r="7" spans="1:16" x14ac:dyDescent="0.3">
      <c r="A7" s="8" t="s">
        <v>195</v>
      </c>
      <c r="B7" s="8" t="s">
        <v>332</v>
      </c>
      <c r="C7" s="8" t="s">
        <v>93</v>
      </c>
      <c r="D7" s="8" t="s">
        <v>322</v>
      </c>
      <c r="E7" s="8">
        <v>15</v>
      </c>
      <c r="F7" s="8">
        <v>1</v>
      </c>
      <c r="G7" s="8">
        <v>15</v>
      </c>
      <c r="H7" s="8">
        <v>3</v>
      </c>
      <c r="I7" s="8">
        <v>18</v>
      </c>
      <c r="J7" s="8">
        <v>18</v>
      </c>
      <c r="K7" s="8"/>
      <c r="L7" s="8" t="s">
        <v>323</v>
      </c>
      <c r="M7" s="8"/>
      <c r="N7" s="8" t="s">
        <v>316</v>
      </c>
      <c r="O7" s="8" t="s">
        <v>329</v>
      </c>
      <c r="P7" s="8"/>
    </row>
    <row r="8" spans="1:16" x14ac:dyDescent="0.3">
      <c r="A8" s="8" t="s">
        <v>224</v>
      </c>
      <c r="B8" s="8" t="s">
        <v>333</v>
      </c>
      <c r="C8" s="8" t="s">
        <v>38</v>
      </c>
      <c r="D8" s="8" t="s">
        <v>314</v>
      </c>
      <c r="E8" s="8">
        <v>2</v>
      </c>
      <c r="F8" s="8">
        <v>1</v>
      </c>
      <c r="G8" s="8">
        <v>13</v>
      </c>
      <c r="H8" s="8">
        <v>6</v>
      </c>
      <c r="I8" s="8">
        <v>19</v>
      </c>
      <c r="J8" s="8">
        <v>20</v>
      </c>
      <c r="K8" s="8"/>
      <c r="L8" s="8" t="s">
        <v>334</v>
      </c>
      <c r="M8" s="8"/>
      <c r="N8" s="8" t="s">
        <v>324</v>
      </c>
      <c r="O8" s="8" t="s">
        <v>329</v>
      </c>
      <c r="P8" s="8"/>
    </row>
    <row r="9" spans="1:16" x14ac:dyDescent="0.3">
      <c r="A9" s="8" t="s">
        <v>335</v>
      </c>
      <c r="B9" s="8" t="s">
        <v>336</v>
      </c>
      <c r="C9" s="8" t="s">
        <v>53</v>
      </c>
      <c r="D9" s="8" t="s">
        <v>314</v>
      </c>
      <c r="E9" s="8">
        <v>21</v>
      </c>
      <c r="F9" s="9">
        <v>1</v>
      </c>
      <c r="G9" s="8">
        <v>13</v>
      </c>
      <c r="H9" s="8">
        <v>4</v>
      </c>
      <c r="I9" s="8">
        <v>17</v>
      </c>
      <c r="J9" s="8">
        <v>20</v>
      </c>
      <c r="K9" s="8"/>
      <c r="L9" s="8" t="s">
        <v>337</v>
      </c>
      <c r="M9" s="8"/>
      <c r="N9" s="8" t="s">
        <v>324</v>
      </c>
      <c r="O9" s="8" t="s">
        <v>317</v>
      </c>
      <c r="P9" s="8"/>
    </row>
    <row r="10" spans="1:16" x14ac:dyDescent="0.3">
      <c r="A10" s="8" t="s">
        <v>184</v>
      </c>
      <c r="B10" s="8" t="s">
        <v>338</v>
      </c>
      <c r="C10" s="8" t="s">
        <v>15</v>
      </c>
      <c r="D10" s="8" t="s">
        <v>339</v>
      </c>
      <c r="E10" s="8">
        <v>6</v>
      </c>
      <c r="F10" s="8">
        <v>1</v>
      </c>
      <c r="G10" s="8">
        <v>11</v>
      </c>
      <c r="H10" s="8">
        <v>5</v>
      </c>
      <c r="I10" s="8">
        <v>16</v>
      </c>
      <c r="J10" s="8">
        <v>20</v>
      </c>
      <c r="K10" s="8"/>
      <c r="L10" s="8" t="s">
        <v>323</v>
      </c>
      <c r="M10" s="8"/>
      <c r="N10" s="8" t="s">
        <v>324</v>
      </c>
      <c r="O10" s="8" t="s">
        <v>325</v>
      </c>
      <c r="P10" s="8"/>
    </row>
    <row r="11" spans="1:16" x14ac:dyDescent="0.3">
      <c r="A11" s="3" t="s">
        <v>287</v>
      </c>
      <c r="B11" s="3" t="s">
        <v>340</v>
      </c>
      <c r="C11" s="3" t="s">
        <v>93</v>
      </c>
      <c r="D11" s="3" t="s">
        <v>339</v>
      </c>
      <c r="E11" s="3">
        <v>26</v>
      </c>
      <c r="F11" s="3">
        <v>3</v>
      </c>
      <c r="G11" s="3">
        <v>9</v>
      </c>
      <c r="H11" s="3">
        <v>2</v>
      </c>
      <c r="I11" s="3">
        <v>11</v>
      </c>
      <c r="J11" s="3">
        <v>20</v>
      </c>
      <c r="K11" s="3"/>
      <c r="L11" s="3" t="s">
        <v>328</v>
      </c>
      <c r="M11" s="3"/>
      <c r="N11" s="3" t="s">
        <v>316</v>
      </c>
      <c r="O11" s="3" t="s">
        <v>325</v>
      </c>
      <c r="P11" s="3"/>
    </row>
    <row r="12" spans="1:16" x14ac:dyDescent="0.3">
      <c r="A12" s="8" t="s">
        <v>132</v>
      </c>
      <c r="B12" s="8" t="s">
        <v>341</v>
      </c>
      <c r="C12" s="8" t="s">
        <v>32</v>
      </c>
      <c r="D12" s="8" t="s">
        <v>322</v>
      </c>
      <c r="E12" s="8">
        <v>21</v>
      </c>
      <c r="F12" s="8">
        <v>4</v>
      </c>
      <c r="G12" s="8">
        <v>10</v>
      </c>
      <c r="H12" s="8">
        <v>4</v>
      </c>
      <c r="I12" s="8">
        <v>14</v>
      </c>
      <c r="J12" s="8">
        <v>18</v>
      </c>
      <c r="K12" s="8"/>
      <c r="L12" s="8" t="s">
        <v>323</v>
      </c>
      <c r="M12" s="8"/>
      <c r="N12" s="8" t="s">
        <v>316</v>
      </c>
      <c r="O12" s="8" t="s">
        <v>329</v>
      </c>
      <c r="P12" s="8"/>
    </row>
    <row r="13" spans="1:16" x14ac:dyDescent="0.3">
      <c r="A13" s="3" t="s">
        <v>342</v>
      </c>
      <c r="B13" s="3" t="s">
        <v>343</v>
      </c>
      <c r="C13" s="3" t="s">
        <v>15</v>
      </c>
      <c r="D13" s="3" t="s">
        <v>314</v>
      </c>
      <c r="E13" s="3">
        <v>12</v>
      </c>
      <c r="F13" s="3">
        <v>1</v>
      </c>
      <c r="G13" s="3">
        <v>13</v>
      </c>
      <c r="H13" s="3">
        <v>2</v>
      </c>
      <c r="I13" s="3">
        <v>15</v>
      </c>
      <c r="J13" s="3">
        <v>20</v>
      </c>
      <c r="K13" s="3"/>
      <c r="L13" s="3" t="s">
        <v>323</v>
      </c>
      <c r="M13" s="3"/>
      <c r="N13" s="3" t="s">
        <v>316</v>
      </c>
      <c r="O13" s="3" t="s">
        <v>325</v>
      </c>
      <c r="P13" s="3"/>
    </row>
    <row r="14" spans="1:16" x14ac:dyDescent="0.3">
      <c r="A14" s="8" t="s">
        <v>136</v>
      </c>
      <c r="B14" s="8" t="s">
        <v>344</v>
      </c>
      <c r="C14" s="10"/>
      <c r="D14" s="8" t="s">
        <v>322</v>
      </c>
      <c r="E14" s="8">
        <v>17</v>
      </c>
      <c r="F14" s="8">
        <v>1</v>
      </c>
      <c r="G14" s="8">
        <v>18</v>
      </c>
      <c r="H14" s="8">
        <v>2</v>
      </c>
      <c r="I14" s="8">
        <v>20</v>
      </c>
      <c r="J14" s="8">
        <v>18</v>
      </c>
      <c r="K14" s="8"/>
      <c r="L14" s="8" t="s">
        <v>328</v>
      </c>
      <c r="M14" s="8"/>
      <c r="N14" s="8" t="s">
        <v>324</v>
      </c>
      <c r="O14" s="8" t="s">
        <v>329</v>
      </c>
      <c r="P14" s="8"/>
    </row>
    <row r="15" spans="1:16" x14ac:dyDescent="0.3">
      <c r="A15" s="8" t="s">
        <v>122</v>
      </c>
      <c r="B15" s="8" t="s">
        <v>345</v>
      </c>
      <c r="C15" s="8" t="s">
        <v>32</v>
      </c>
      <c r="D15" s="8" t="s">
        <v>314</v>
      </c>
      <c r="E15" s="8">
        <v>14</v>
      </c>
      <c r="F15" s="8">
        <v>3</v>
      </c>
      <c r="G15" s="8">
        <v>18</v>
      </c>
      <c r="H15" s="8">
        <v>5</v>
      </c>
      <c r="I15" s="8">
        <v>23</v>
      </c>
      <c r="J15" s="8">
        <v>20</v>
      </c>
      <c r="K15" s="8"/>
      <c r="L15" s="8" t="s">
        <v>331</v>
      </c>
      <c r="M15" s="8"/>
      <c r="N15" s="8" t="s">
        <v>316</v>
      </c>
      <c r="O15" s="8" t="s">
        <v>329</v>
      </c>
      <c r="P15" s="8"/>
    </row>
    <row r="16" spans="1:16" x14ac:dyDescent="0.3">
      <c r="A16" s="8" t="s">
        <v>231</v>
      </c>
      <c r="B16" s="8" t="s">
        <v>346</v>
      </c>
      <c r="C16" s="8" t="s">
        <v>24</v>
      </c>
      <c r="D16" s="8" t="s">
        <v>322</v>
      </c>
      <c r="E16" s="8">
        <v>29</v>
      </c>
      <c r="F16" s="8">
        <v>2</v>
      </c>
      <c r="G16" s="8">
        <v>13</v>
      </c>
      <c r="H16" s="8">
        <v>5</v>
      </c>
      <c r="I16" s="8">
        <v>18</v>
      </c>
      <c r="J16" s="8">
        <v>18</v>
      </c>
      <c r="K16" s="8"/>
      <c r="L16" s="8" t="s">
        <v>334</v>
      </c>
      <c r="M16" s="8"/>
      <c r="N16" s="8" t="s">
        <v>316</v>
      </c>
      <c r="O16" s="8" t="s">
        <v>325</v>
      </c>
      <c r="P16" s="8"/>
    </row>
    <row r="17" spans="1:16" x14ac:dyDescent="0.3">
      <c r="A17" s="3" t="s">
        <v>108</v>
      </c>
      <c r="B17" s="3" t="s">
        <v>347</v>
      </c>
      <c r="C17" s="3" t="s">
        <v>138</v>
      </c>
      <c r="D17" s="3" t="s">
        <v>348</v>
      </c>
      <c r="E17" s="3">
        <v>26</v>
      </c>
      <c r="F17" s="3">
        <v>2</v>
      </c>
      <c r="G17" s="3">
        <v>12</v>
      </c>
      <c r="H17" s="3">
        <v>0</v>
      </c>
      <c r="I17" s="3">
        <v>12</v>
      </c>
      <c r="J17" s="3">
        <v>20</v>
      </c>
      <c r="K17" s="3"/>
      <c r="L17" s="3" t="s">
        <v>337</v>
      </c>
      <c r="M17" s="3"/>
      <c r="N17" s="3" t="s">
        <v>316</v>
      </c>
      <c r="O17" s="3" t="s">
        <v>329</v>
      </c>
      <c r="P17" s="3"/>
    </row>
    <row r="18" spans="1:16" x14ac:dyDescent="0.3">
      <c r="A18" s="11" t="s">
        <v>113</v>
      </c>
      <c r="B18" s="11" t="s">
        <v>349</v>
      </c>
      <c r="C18" s="11" t="s">
        <v>32</v>
      </c>
      <c r="D18" s="11" t="s">
        <v>322</v>
      </c>
      <c r="E18" s="11">
        <v>29</v>
      </c>
      <c r="F18" s="11">
        <v>2</v>
      </c>
      <c r="G18" s="11">
        <v>14</v>
      </c>
      <c r="H18" s="11">
        <v>0</v>
      </c>
      <c r="I18" s="11">
        <v>14</v>
      </c>
      <c r="J18" s="11">
        <v>18</v>
      </c>
      <c r="K18" s="11"/>
      <c r="L18" s="11" t="s">
        <v>315</v>
      </c>
      <c r="M18" s="11"/>
      <c r="N18" s="11" t="s">
        <v>316</v>
      </c>
      <c r="O18" s="11" t="s">
        <v>317</v>
      </c>
      <c r="P18" s="11"/>
    </row>
    <row r="19" spans="1:16" x14ac:dyDescent="0.3">
      <c r="A19" s="3" t="s">
        <v>297</v>
      </c>
      <c r="B19" s="3" t="s">
        <v>350</v>
      </c>
      <c r="C19" s="3" t="s">
        <v>93</v>
      </c>
      <c r="D19" s="3" t="s">
        <v>348</v>
      </c>
      <c r="E19" s="3">
        <v>3</v>
      </c>
      <c r="F19" s="3">
        <v>3</v>
      </c>
      <c r="G19" s="3">
        <v>11</v>
      </c>
      <c r="H19" s="3">
        <v>0</v>
      </c>
      <c r="I19" s="3">
        <v>11</v>
      </c>
      <c r="J19" s="3">
        <v>20</v>
      </c>
      <c r="K19" s="3"/>
      <c r="L19" s="3" t="s">
        <v>315</v>
      </c>
      <c r="M19" s="3"/>
      <c r="N19" s="3" t="s">
        <v>316</v>
      </c>
      <c r="O19" s="3" t="s">
        <v>317</v>
      </c>
      <c r="P19" s="3"/>
    </row>
    <row r="20" spans="1:16" x14ac:dyDescent="0.3">
      <c r="A20" s="11" t="s">
        <v>351</v>
      </c>
      <c r="B20" s="11" t="s">
        <v>352</v>
      </c>
      <c r="C20" s="11" t="s">
        <v>165</v>
      </c>
      <c r="D20" s="11" t="s">
        <v>348</v>
      </c>
      <c r="E20" s="11">
        <v>16</v>
      </c>
      <c r="F20" s="11">
        <v>4</v>
      </c>
      <c r="G20" s="11">
        <v>17</v>
      </c>
      <c r="H20" s="11">
        <v>0</v>
      </c>
      <c r="I20" s="11">
        <v>17</v>
      </c>
      <c r="J20" s="11">
        <v>20</v>
      </c>
      <c r="K20" s="11"/>
      <c r="L20" s="11" t="s">
        <v>328</v>
      </c>
      <c r="M20" s="11"/>
      <c r="N20" s="11" t="s">
        <v>316</v>
      </c>
      <c r="O20" s="11" t="s">
        <v>317</v>
      </c>
      <c r="P20" s="11"/>
    </row>
    <row r="21" spans="1:16" x14ac:dyDescent="0.3">
      <c r="A21" s="3" t="s">
        <v>148</v>
      </c>
      <c r="B21" s="3" t="s">
        <v>353</v>
      </c>
      <c r="C21" s="3" t="s">
        <v>138</v>
      </c>
      <c r="D21" s="3" t="s">
        <v>320</v>
      </c>
      <c r="E21" s="3">
        <v>8</v>
      </c>
      <c r="F21" s="3">
        <v>3</v>
      </c>
      <c r="G21" s="3">
        <v>9</v>
      </c>
      <c r="H21" s="3">
        <v>0</v>
      </c>
      <c r="I21" s="3">
        <v>9</v>
      </c>
      <c r="J21" s="3">
        <v>20</v>
      </c>
      <c r="K21" s="3"/>
      <c r="L21" s="3" t="s">
        <v>331</v>
      </c>
      <c r="M21" s="3"/>
      <c r="N21" s="3" t="s">
        <v>316</v>
      </c>
      <c r="O21" s="3" t="s">
        <v>317</v>
      </c>
      <c r="P21" s="3"/>
    </row>
    <row r="22" spans="1:16" x14ac:dyDescent="0.3">
      <c r="A22" s="11" t="s">
        <v>180</v>
      </c>
      <c r="B22" s="11" t="s">
        <v>354</v>
      </c>
      <c r="C22" s="11" t="s">
        <v>53</v>
      </c>
      <c r="D22" s="11" t="s">
        <v>339</v>
      </c>
      <c r="E22" s="11">
        <v>8</v>
      </c>
      <c r="F22" s="11">
        <v>2</v>
      </c>
      <c r="G22" s="11">
        <v>12</v>
      </c>
      <c r="H22" s="11">
        <v>3</v>
      </c>
      <c r="I22" s="11">
        <v>15</v>
      </c>
      <c r="J22" s="11">
        <v>20</v>
      </c>
      <c r="K22" s="11"/>
      <c r="L22" s="11" t="s">
        <v>334</v>
      </c>
      <c r="M22" s="11"/>
      <c r="N22" s="11" t="s">
        <v>316</v>
      </c>
      <c r="O22" s="11" t="s">
        <v>317</v>
      </c>
      <c r="P22" s="11"/>
    </row>
    <row r="23" spans="1:16" x14ac:dyDescent="0.3">
      <c r="A23" s="8" t="s">
        <v>239</v>
      </c>
      <c r="B23" s="8" t="s">
        <v>355</v>
      </c>
      <c r="C23" s="10"/>
      <c r="D23" s="8" t="s">
        <v>339</v>
      </c>
      <c r="E23" s="8">
        <v>3</v>
      </c>
      <c r="F23" s="8">
        <v>1</v>
      </c>
      <c r="G23" s="8">
        <v>14</v>
      </c>
      <c r="H23" s="8">
        <v>6</v>
      </c>
      <c r="I23" s="8">
        <v>20</v>
      </c>
      <c r="J23" s="8">
        <v>20</v>
      </c>
      <c r="K23" s="8"/>
      <c r="L23" s="8" t="s">
        <v>315</v>
      </c>
      <c r="M23" s="8"/>
      <c r="N23" s="8" t="s">
        <v>316</v>
      </c>
      <c r="O23" s="8" t="s">
        <v>325</v>
      </c>
      <c r="P23" s="8"/>
    </row>
    <row r="24" spans="1:16" x14ac:dyDescent="0.3">
      <c r="A24" s="8" t="s">
        <v>201</v>
      </c>
      <c r="B24" s="8" t="s">
        <v>356</v>
      </c>
      <c r="C24" s="8" t="s">
        <v>15</v>
      </c>
      <c r="D24" s="8" t="s">
        <v>322</v>
      </c>
      <c r="E24" s="8">
        <v>24</v>
      </c>
      <c r="F24" s="8">
        <v>1</v>
      </c>
      <c r="G24" s="8">
        <v>17</v>
      </c>
      <c r="H24" s="8">
        <v>5</v>
      </c>
      <c r="I24" s="8">
        <v>22</v>
      </c>
      <c r="J24" s="8">
        <v>18</v>
      </c>
      <c r="K24" s="8"/>
      <c r="L24" s="8" t="s">
        <v>323</v>
      </c>
      <c r="M24" s="8"/>
      <c r="N24" s="8" t="s">
        <v>324</v>
      </c>
      <c r="O24" s="8" t="s">
        <v>317</v>
      </c>
      <c r="P24" s="8"/>
    </row>
    <row r="25" spans="1:16" x14ac:dyDescent="0.3">
      <c r="A25" s="8" t="s">
        <v>260</v>
      </c>
      <c r="B25" s="8" t="s">
        <v>357</v>
      </c>
      <c r="C25" s="8" t="s">
        <v>165</v>
      </c>
      <c r="D25" s="8" t="s">
        <v>314</v>
      </c>
      <c r="E25" s="8">
        <v>6</v>
      </c>
      <c r="F25" s="8">
        <v>2</v>
      </c>
      <c r="G25" s="8">
        <v>9</v>
      </c>
      <c r="H25" s="8">
        <v>5</v>
      </c>
      <c r="I25" s="8">
        <v>14</v>
      </c>
      <c r="J25" s="8">
        <v>20</v>
      </c>
      <c r="K25" s="8"/>
      <c r="L25" s="8" t="s">
        <v>315</v>
      </c>
      <c r="M25" s="8"/>
      <c r="N25" s="8" t="s">
        <v>324</v>
      </c>
      <c r="O25" s="8" t="s">
        <v>325</v>
      </c>
      <c r="P25" s="8"/>
    </row>
    <row r="26" spans="1:16" x14ac:dyDescent="0.3">
      <c r="A26" s="8" t="s">
        <v>41</v>
      </c>
      <c r="B26" s="8" t="s">
        <v>358</v>
      </c>
      <c r="C26" s="8" t="s">
        <v>53</v>
      </c>
      <c r="D26" s="8" t="s">
        <v>322</v>
      </c>
      <c r="E26" s="8">
        <v>17</v>
      </c>
      <c r="F26" s="8">
        <v>4</v>
      </c>
      <c r="G26" s="8">
        <v>16</v>
      </c>
      <c r="H26" s="8">
        <v>3</v>
      </c>
      <c r="I26" s="8">
        <v>19</v>
      </c>
      <c r="J26" s="8">
        <v>18</v>
      </c>
      <c r="K26" s="8"/>
      <c r="L26" s="8" t="s">
        <v>315</v>
      </c>
      <c r="M26" s="8"/>
      <c r="N26" s="8" t="s">
        <v>324</v>
      </c>
      <c r="O26" s="8" t="s">
        <v>325</v>
      </c>
      <c r="P26" s="8"/>
    </row>
    <row r="27" spans="1:16" x14ac:dyDescent="0.3">
      <c r="A27" s="8" t="s">
        <v>280</v>
      </c>
      <c r="B27" s="8" t="s">
        <v>359</v>
      </c>
      <c r="C27" s="8" t="s">
        <v>38</v>
      </c>
      <c r="D27" s="8" t="s">
        <v>320</v>
      </c>
      <c r="E27" s="8">
        <v>14</v>
      </c>
      <c r="F27" s="8">
        <v>4</v>
      </c>
      <c r="G27" s="8">
        <v>15</v>
      </c>
      <c r="H27" s="8">
        <v>3</v>
      </c>
      <c r="I27" s="8">
        <v>18</v>
      </c>
      <c r="J27" s="8">
        <v>20</v>
      </c>
      <c r="K27" s="8"/>
      <c r="L27" s="8" t="s">
        <v>323</v>
      </c>
      <c r="M27" s="8"/>
      <c r="N27" s="8" t="s">
        <v>316</v>
      </c>
      <c r="O27" s="8" t="s">
        <v>329</v>
      </c>
      <c r="P27" s="8"/>
    </row>
    <row r="28" spans="1:16" x14ac:dyDescent="0.3">
      <c r="A28" s="11" t="s">
        <v>129</v>
      </c>
      <c r="B28" s="11" t="s">
        <v>360</v>
      </c>
      <c r="C28" s="11" t="s">
        <v>15</v>
      </c>
      <c r="D28" s="11" t="s">
        <v>314</v>
      </c>
      <c r="E28" s="11">
        <v>14</v>
      </c>
      <c r="F28" s="11">
        <v>2</v>
      </c>
      <c r="G28" s="11">
        <v>16</v>
      </c>
      <c r="H28" s="11">
        <v>2</v>
      </c>
      <c r="I28" s="11">
        <v>18</v>
      </c>
      <c r="J28" s="11">
        <v>20</v>
      </c>
      <c r="K28" s="11"/>
      <c r="L28" s="11" t="s">
        <v>323</v>
      </c>
      <c r="M28" s="11"/>
      <c r="N28" s="11" t="s">
        <v>324</v>
      </c>
      <c r="O28" s="11" t="s">
        <v>325</v>
      </c>
      <c r="P28" s="11"/>
    </row>
    <row r="29" spans="1:16" x14ac:dyDescent="0.3">
      <c r="A29" s="8" t="s">
        <v>91</v>
      </c>
      <c r="B29" s="8" t="s">
        <v>361</v>
      </c>
      <c r="C29" s="8" t="s">
        <v>138</v>
      </c>
      <c r="D29" s="8" t="s">
        <v>348</v>
      </c>
      <c r="E29" s="8">
        <v>15</v>
      </c>
      <c r="F29" s="8">
        <v>3</v>
      </c>
      <c r="G29" s="8">
        <v>15</v>
      </c>
      <c r="H29" s="8">
        <v>0</v>
      </c>
      <c r="I29" s="8">
        <v>15</v>
      </c>
      <c r="J29" s="8">
        <v>20</v>
      </c>
      <c r="K29" s="8"/>
      <c r="L29" s="8" t="s">
        <v>315</v>
      </c>
      <c r="M29" s="8"/>
      <c r="N29" s="8" t="s">
        <v>316</v>
      </c>
      <c r="O29" s="8" t="s">
        <v>325</v>
      </c>
      <c r="P29" s="8"/>
    </row>
    <row r="30" spans="1:16" x14ac:dyDescent="0.3">
      <c r="A30" s="8" t="s">
        <v>95</v>
      </c>
      <c r="B30" s="8" t="s">
        <v>362</v>
      </c>
      <c r="C30" s="8" t="s">
        <v>138</v>
      </c>
      <c r="D30" s="8" t="s">
        <v>322</v>
      </c>
      <c r="E30" s="8">
        <v>26</v>
      </c>
      <c r="F30" s="8">
        <v>2</v>
      </c>
      <c r="G30" s="8">
        <v>8</v>
      </c>
      <c r="H30" s="8">
        <v>1</v>
      </c>
      <c r="I30" s="8">
        <v>9</v>
      </c>
      <c r="J30" s="8">
        <v>18</v>
      </c>
      <c r="K30" s="8"/>
      <c r="L30" s="8" t="s">
        <v>337</v>
      </c>
      <c r="M30" s="8"/>
      <c r="N30" s="8" t="s">
        <v>316</v>
      </c>
      <c r="O30" s="8" t="s">
        <v>317</v>
      </c>
      <c r="P30" s="8"/>
    </row>
    <row r="31" spans="1:16" x14ac:dyDescent="0.3">
      <c r="A31" s="8" t="s">
        <v>47</v>
      </c>
      <c r="B31" s="8" t="s">
        <v>363</v>
      </c>
      <c r="C31" s="8" t="s">
        <v>93</v>
      </c>
      <c r="D31" s="8" t="s">
        <v>322</v>
      </c>
      <c r="E31" s="8">
        <v>19</v>
      </c>
      <c r="F31" s="8">
        <v>1</v>
      </c>
      <c r="G31" s="8">
        <v>17</v>
      </c>
      <c r="H31" s="8">
        <v>1</v>
      </c>
      <c r="I31" s="8">
        <v>18</v>
      </c>
      <c r="J31" s="8">
        <v>18</v>
      </c>
      <c r="K31" s="8"/>
      <c r="L31" s="8" t="s">
        <v>337</v>
      </c>
      <c r="M31" s="8"/>
      <c r="N31" s="8" t="s">
        <v>316</v>
      </c>
      <c r="O31" s="8" t="s">
        <v>325</v>
      </c>
      <c r="P31" s="8"/>
    </row>
    <row r="32" spans="1:16" x14ac:dyDescent="0.3">
      <c r="A32" s="11" t="s">
        <v>154</v>
      </c>
      <c r="B32" s="11" t="s">
        <v>364</v>
      </c>
      <c r="C32" s="11" t="s">
        <v>93</v>
      </c>
      <c r="D32" s="11" t="s">
        <v>314</v>
      </c>
      <c r="E32" s="11">
        <v>21</v>
      </c>
      <c r="F32" s="11">
        <v>3</v>
      </c>
      <c r="G32" s="11">
        <v>11</v>
      </c>
      <c r="H32" s="11">
        <v>0</v>
      </c>
      <c r="I32" s="11">
        <v>11</v>
      </c>
      <c r="J32" s="11">
        <v>20</v>
      </c>
      <c r="K32" s="11"/>
      <c r="L32" s="11" t="s">
        <v>337</v>
      </c>
      <c r="M32" s="11"/>
      <c r="N32" s="11" t="s">
        <v>316</v>
      </c>
      <c r="O32" s="11" t="s">
        <v>329</v>
      </c>
      <c r="P32" s="11"/>
    </row>
    <row r="33" spans="1:16" x14ac:dyDescent="0.3">
      <c r="A33" s="3" t="s">
        <v>365</v>
      </c>
      <c r="B33" s="3" t="s">
        <v>366</v>
      </c>
      <c r="C33" s="3" t="s">
        <v>38</v>
      </c>
      <c r="D33" s="3" t="s">
        <v>314</v>
      </c>
      <c r="E33" s="3">
        <v>20</v>
      </c>
      <c r="F33" s="3">
        <v>3</v>
      </c>
      <c r="G33" s="3">
        <v>15</v>
      </c>
      <c r="H33" s="3">
        <v>1</v>
      </c>
      <c r="I33" s="3">
        <v>16</v>
      </c>
      <c r="J33" s="3">
        <v>20</v>
      </c>
      <c r="K33" s="3"/>
      <c r="L33" s="3" t="s">
        <v>331</v>
      </c>
      <c r="M33" s="3"/>
      <c r="N33" s="3" t="s">
        <v>324</v>
      </c>
      <c r="O33" s="3" t="s">
        <v>325</v>
      </c>
      <c r="P33" s="3"/>
    </row>
    <row r="34" spans="1:16" x14ac:dyDescent="0.3">
      <c r="A34" s="8" t="s">
        <v>116</v>
      </c>
      <c r="B34" s="8" t="s">
        <v>367</v>
      </c>
      <c r="C34" s="8" t="s">
        <v>93</v>
      </c>
      <c r="D34" s="8" t="s">
        <v>322</v>
      </c>
      <c r="E34" s="8">
        <v>3</v>
      </c>
      <c r="F34" s="8">
        <v>3</v>
      </c>
      <c r="G34" s="8">
        <v>12</v>
      </c>
      <c r="H34" s="8">
        <v>6</v>
      </c>
      <c r="I34" s="8">
        <v>18</v>
      </c>
      <c r="J34" s="8">
        <v>18</v>
      </c>
      <c r="K34" s="8"/>
      <c r="L34" s="8" t="s">
        <v>337</v>
      </c>
      <c r="M34" s="8"/>
      <c r="N34" s="8" t="s">
        <v>316</v>
      </c>
      <c r="O34" s="8" t="s">
        <v>329</v>
      </c>
      <c r="P34" s="8"/>
    </row>
    <row r="35" spans="1:16" x14ac:dyDescent="0.3">
      <c r="A35" s="8" t="s">
        <v>163</v>
      </c>
      <c r="B35" s="8" t="s">
        <v>368</v>
      </c>
      <c r="C35" s="8" t="s">
        <v>32</v>
      </c>
      <c r="D35" s="8" t="s">
        <v>348</v>
      </c>
      <c r="E35" s="8">
        <v>1</v>
      </c>
      <c r="F35" s="8">
        <v>3</v>
      </c>
      <c r="G35" s="8">
        <v>16</v>
      </c>
      <c r="H35" s="8">
        <v>4</v>
      </c>
      <c r="I35" s="8">
        <v>20</v>
      </c>
      <c r="J35" s="8">
        <v>20</v>
      </c>
      <c r="K35" s="8"/>
      <c r="L35" s="8" t="s">
        <v>337</v>
      </c>
      <c r="M35" s="8"/>
      <c r="N35" s="8" t="s">
        <v>324</v>
      </c>
      <c r="O35" s="8" t="s">
        <v>329</v>
      </c>
      <c r="P35" s="8"/>
    </row>
    <row r="36" spans="1:16" x14ac:dyDescent="0.3">
      <c r="A36" s="11" t="s">
        <v>169</v>
      </c>
      <c r="B36" s="11" t="s">
        <v>369</v>
      </c>
      <c r="C36" s="11" t="s">
        <v>165</v>
      </c>
      <c r="D36" s="11" t="s">
        <v>339</v>
      </c>
      <c r="E36" s="11">
        <v>25</v>
      </c>
      <c r="F36" s="11">
        <v>4</v>
      </c>
      <c r="G36" s="11">
        <v>17</v>
      </c>
      <c r="H36" s="11">
        <v>0</v>
      </c>
      <c r="I36" s="11">
        <v>17</v>
      </c>
      <c r="J36" s="11">
        <v>20</v>
      </c>
      <c r="K36" s="11"/>
      <c r="L36" s="11" t="s">
        <v>323</v>
      </c>
      <c r="M36" s="11"/>
      <c r="N36" s="11" t="s">
        <v>324</v>
      </c>
      <c r="O36" s="11" t="s">
        <v>325</v>
      </c>
      <c r="P36" s="11"/>
    </row>
    <row r="37" spans="1:16" x14ac:dyDescent="0.3">
      <c r="A37" s="3" t="s">
        <v>85</v>
      </c>
      <c r="B37" s="3" t="s">
        <v>370</v>
      </c>
      <c r="C37" s="3" t="s">
        <v>32</v>
      </c>
      <c r="D37" s="3" t="s">
        <v>348</v>
      </c>
      <c r="E37" s="3">
        <v>17</v>
      </c>
      <c r="F37" s="3">
        <v>1</v>
      </c>
      <c r="G37" s="3">
        <v>9</v>
      </c>
      <c r="H37" s="3">
        <v>4</v>
      </c>
      <c r="I37" s="3">
        <v>13</v>
      </c>
      <c r="J37" s="3">
        <v>20</v>
      </c>
      <c r="K37" s="3"/>
      <c r="L37" s="3" t="s">
        <v>323</v>
      </c>
      <c r="M37" s="3"/>
      <c r="N37" s="3" t="s">
        <v>324</v>
      </c>
      <c r="O37" s="3" t="s">
        <v>317</v>
      </c>
      <c r="P37" s="3"/>
    </row>
    <row r="38" spans="1:16" x14ac:dyDescent="0.3">
      <c r="A38" s="8" t="s">
        <v>56</v>
      </c>
      <c r="B38" s="8" t="s">
        <v>371</v>
      </c>
      <c r="C38" s="10"/>
      <c r="D38" s="8" t="s">
        <v>320</v>
      </c>
      <c r="E38" s="8">
        <v>7</v>
      </c>
      <c r="F38" s="8">
        <v>3</v>
      </c>
      <c r="G38" s="8">
        <v>10</v>
      </c>
      <c r="H38" s="8">
        <v>5</v>
      </c>
      <c r="I38" s="8">
        <v>15</v>
      </c>
      <c r="J38" s="8">
        <v>20</v>
      </c>
      <c r="K38" s="8"/>
      <c r="L38" s="8" t="s">
        <v>328</v>
      </c>
      <c r="M38" s="8"/>
      <c r="N38" s="8" t="s">
        <v>324</v>
      </c>
      <c r="O38" s="8" t="s">
        <v>329</v>
      </c>
      <c r="P38" s="8"/>
    </row>
    <row r="39" spans="1:16" x14ac:dyDescent="0.3">
      <c r="A39" s="8" t="s">
        <v>61</v>
      </c>
      <c r="B39" s="8" t="s">
        <v>372</v>
      </c>
      <c r="C39" s="8" t="s">
        <v>32</v>
      </c>
      <c r="D39" s="8" t="s">
        <v>348</v>
      </c>
      <c r="E39" s="8">
        <v>20</v>
      </c>
      <c r="F39" s="8">
        <v>3</v>
      </c>
      <c r="G39" s="8">
        <v>17</v>
      </c>
      <c r="H39" s="8">
        <v>0</v>
      </c>
      <c r="I39" s="8">
        <v>17</v>
      </c>
      <c r="J39" s="8">
        <v>20</v>
      </c>
      <c r="K39" s="8"/>
      <c r="L39" s="8" t="s">
        <v>323</v>
      </c>
      <c r="M39" s="8"/>
      <c r="N39" s="8" t="s">
        <v>324</v>
      </c>
      <c r="O39" s="8" t="s">
        <v>317</v>
      </c>
      <c r="P39" s="8"/>
    </row>
    <row r="40" spans="1:16" x14ac:dyDescent="0.3">
      <c r="A40" s="8" t="s">
        <v>256</v>
      </c>
      <c r="B40" s="8" t="s">
        <v>373</v>
      </c>
      <c r="C40" s="8" t="s">
        <v>138</v>
      </c>
      <c r="D40" s="8" t="s">
        <v>339</v>
      </c>
      <c r="E40" s="8">
        <v>1</v>
      </c>
      <c r="F40" s="8">
        <v>4</v>
      </c>
      <c r="G40" s="8">
        <v>18</v>
      </c>
      <c r="H40" s="8">
        <v>4</v>
      </c>
      <c r="I40" s="8">
        <v>22</v>
      </c>
      <c r="J40" s="8">
        <v>20</v>
      </c>
      <c r="K40" s="8"/>
      <c r="L40" s="8" t="s">
        <v>334</v>
      </c>
      <c r="M40" s="8"/>
      <c r="N40" s="8" t="s">
        <v>316</v>
      </c>
      <c r="O40" s="8" t="s">
        <v>317</v>
      </c>
      <c r="P40" s="8"/>
    </row>
    <row r="41" spans="1:16" x14ac:dyDescent="0.3">
      <c r="A41" s="8" t="s">
        <v>242</v>
      </c>
      <c r="B41" s="8" t="s">
        <v>361</v>
      </c>
      <c r="C41" s="8" t="s">
        <v>15</v>
      </c>
      <c r="D41" s="8" t="s">
        <v>320</v>
      </c>
      <c r="E41" s="8">
        <v>15</v>
      </c>
      <c r="F41" s="8">
        <v>4</v>
      </c>
      <c r="G41" s="8">
        <v>15</v>
      </c>
      <c r="H41" s="8">
        <v>3</v>
      </c>
      <c r="I41" s="8">
        <v>18</v>
      </c>
      <c r="J41" s="8">
        <v>20</v>
      </c>
      <c r="K41" s="8"/>
      <c r="L41" s="8" t="s">
        <v>323</v>
      </c>
      <c r="M41" s="8"/>
      <c r="N41" s="8" t="s">
        <v>324</v>
      </c>
      <c r="O41" s="8" t="s">
        <v>325</v>
      </c>
      <c r="P41" s="8"/>
    </row>
    <row r="42" spans="1:16" x14ac:dyDescent="0.3">
      <c r="A42" s="8" t="s">
        <v>210</v>
      </c>
      <c r="B42" s="8" t="s">
        <v>374</v>
      </c>
      <c r="C42" s="8" t="s">
        <v>93</v>
      </c>
      <c r="D42" s="8" t="s">
        <v>314</v>
      </c>
      <c r="E42" s="8">
        <v>25</v>
      </c>
      <c r="F42" s="8">
        <v>3</v>
      </c>
      <c r="G42" s="8">
        <v>16</v>
      </c>
      <c r="H42" s="8">
        <v>4</v>
      </c>
      <c r="I42" s="8">
        <v>20</v>
      </c>
      <c r="J42" s="8">
        <v>20</v>
      </c>
      <c r="K42" s="8"/>
      <c r="L42" s="8" t="s">
        <v>323</v>
      </c>
      <c r="M42" s="8"/>
      <c r="N42" s="8" t="s">
        <v>324</v>
      </c>
      <c r="O42" s="8" t="s">
        <v>325</v>
      </c>
      <c r="P42" s="8"/>
    </row>
    <row r="43" spans="1:16" x14ac:dyDescent="0.3">
      <c r="A43" s="8" t="s">
        <v>27</v>
      </c>
      <c r="B43" s="8" t="s">
        <v>375</v>
      </c>
      <c r="C43" s="8" t="s">
        <v>32</v>
      </c>
      <c r="D43" s="8" t="s">
        <v>320</v>
      </c>
      <c r="E43" s="8">
        <v>10</v>
      </c>
      <c r="F43" s="8">
        <v>4</v>
      </c>
      <c r="G43" s="8">
        <v>17</v>
      </c>
      <c r="H43" s="8">
        <v>3</v>
      </c>
      <c r="I43" s="8">
        <v>20</v>
      </c>
      <c r="J43" s="8">
        <v>20</v>
      </c>
      <c r="K43" s="8"/>
      <c r="L43" s="8" t="s">
        <v>323</v>
      </c>
      <c r="M43" s="8"/>
      <c r="N43" s="8" t="s">
        <v>316</v>
      </c>
      <c r="O43" s="8" t="s">
        <v>329</v>
      </c>
      <c r="P43" s="8"/>
    </row>
    <row r="44" spans="1:16" x14ac:dyDescent="0.3">
      <c r="A44" s="11" t="s">
        <v>376</v>
      </c>
      <c r="B44" s="11" t="s">
        <v>368</v>
      </c>
      <c r="C44" s="11" t="s">
        <v>32</v>
      </c>
      <c r="D44" s="11" t="s">
        <v>314</v>
      </c>
      <c r="E44" s="11">
        <v>15</v>
      </c>
      <c r="F44" s="11">
        <v>4</v>
      </c>
      <c r="G44" s="11">
        <v>12</v>
      </c>
      <c r="H44" s="11">
        <v>3</v>
      </c>
      <c r="I44" s="11">
        <v>15</v>
      </c>
      <c r="J44" s="11">
        <v>20</v>
      </c>
      <c r="K44" s="11"/>
      <c r="L44" s="11" t="s">
        <v>323</v>
      </c>
      <c r="M44" s="11"/>
      <c r="N44" s="11" t="s">
        <v>316</v>
      </c>
      <c r="O44" s="11" t="s">
        <v>329</v>
      </c>
      <c r="P44" s="11"/>
    </row>
    <row r="45" spans="1:16" x14ac:dyDescent="0.3">
      <c r="A45" s="8" t="s">
        <v>249</v>
      </c>
      <c r="B45" s="8" t="s">
        <v>377</v>
      </c>
      <c r="C45" s="8" t="s">
        <v>93</v>
      </c>
      <c r="D45" s="8" t="s">
        <v>320</v>
      </c>
      <c r="E45" s="8">
        <v>10</v>
      </c>
      <c r="F45" s="8">
        <v>4</v>
      </c>
      <c r="G45" s="8">
        <v>17</v>
      </c>
      <c r="H45" s="8">
        <v>6</v>
      </c>
      <c r="I45" s="8">
        <v>23</v>
      </c>
      <c r="J45" s="8">
        <v>20</v>
      </c>
      <c r="K45" s="8"/>
      <c r="L45" s="8" t="s">
        <v>337</v>
      </c>
      <c r="M45" s="8"/>
      <c r="N45" s="8" t="s">
        <v>316</v>
      </c>
      <c r="O45" s="8" t="s">
        <v>329</v>
      </c>
      <c r="P45" s="8"/>
    </row>
    <row r="46" spans="1:16" x14ac:dyDescent="0.3">
      <c r="A46" s="8" t="s">
        <v>378</v>
      </c>
      <c r="B46" s="8" t="s">
        <v>379</v>
      </c>
      <c r="C46" s="8" t="s">
        <v>38</v>
      </c>
      <c r="D46" s="8" t="s">
        <v>322</v>
      </c>
      <c r="E46" s="8">
        <v>12</v>
      </c>
      <c r="F46" s="8">
        <v>1</v>
      </c>
      <c r="G46" s="8">
        <v>14</v>
      </c>
      <c r="H46" s="8">
        <v>0</v>
      </c>
      <c r="I46" s="8">
        <v>14</v>
      </c>
      <c r="J46" s="8">
        <v>18</v>
      </c>
      <c r="K46" s="8"/>
      <c r="L46" s="8" t="s">
        <v>323</v>
      </c>
      <c r="M46" s="8"/>
      <c r="N46" s="8" t="s">
        <v>324</v>
      </c>
      <c r="O46" s="8" t="s">
        <v>325</v>
      </c>
      <c r="P46" s="8"/>
    </row>
    <row r="47" spans="1:16" x14ac:dyDescent="0.3">
      <c r="A47" s="3" t="s">
        <v>380</v>
      </c>
      <c r="B47" s="3" t="s">
        <v>381</v>
      </c>
      <c r="C47" s="3" t="s">
        <v>165</v>
      </c>
      <c r="D47" s="3" t="s">
        <v>339</v>
      </c>
      <c r="E47" s="3">
        <v>27</v>
      </c>
      <c r="F47" s="3">
        <v>1</v>
      </c>
      <c r="G47" s="3">
        <v>10</v>
      </c>
      <c r="H47" s="3">
        <v>0</v>
      </c>
      <c r="I47" s="3">
        <v>10</v>
      </c>
      <c r="J47" s="3">
        <v>20</v>
      </c>
      <c r="K47" s="3"/>
      <c r="L47" s="3" t="s">
        <v>328</v>
      </c>
      <c r="M47" s="3"/>
      <c r="N47" s="3" t="s">
        <v>316</v>
      </c>
      <c r="O47" s="3" t="s">
        <v>329</v>
      </c>
      <c r="P47" s="3"/>
    </row>
    <row r="48" spans="1:16" x14ac:dyDescent="0.3">
      <c r="A48" s="11" t="s">
        <v>76</v>
      </c>
      <c r="B48" s="11" t="s">
        <v>377</v>
      </c>
      <c r="C48" s="11" t="s">
        <v>138</v>
      </c>
      <c r="D48" s="11" t="s">
        <v>339</v>
      </c>
      <c r="E48" s="11">
        <v>2</v>
      </c>
      <c r="F48" s="11">
        <v>1</v>
      </c>
      <c r="G48" s="11">
        <v>10</v>
      </c>
      <c r="H48" s="11">
        <v>5</v>
      </c>
      <c r="I48" s="11">
        <v>15</v>
      </c>
      <c r="J48" s="11">
        <v>20</v>
      </c>
      <c r="K48" s="11"/>
      <c r="L48" s="11" t="s">
        <v>328</v>
      </c>
      <c r="M48" s="11"/>
      <c r="N48" s="11" t="s">
        <v>316</v>
      </c>
      <c r="O48" s="11" t="s">
        <v>317</v>
      </c>
      <c r="P48" s="11"/>
    </row>
    <row r="49" spans="1:16" x14ac:dyDescent="0.3">
      <c r="A49" s="8" t="s">
        <v>18</v>
      </c>
      <c r="B49" s="8" t="s">
        <v>382</v>
      </c>
      <c r="C49" s="8" t="s">
        <v>93</v>
      </c>
      <c r="D49" s="8" t="s">
        <v>348</v>
      </c>
      <c r="E49" s="8">
        <v>20</v>
      </c>
      <c r="F49" s="8">
        <v>3</v>
      </c>
      <c r="G49" s="8">
        <v>17</v>
      </c>
      <c r="H49" s="8">
        <v>2</v>
      </c>
      <c r="I49" s="8">
        <v>19</v>
      </c>
      <c r="J49" s="8">
        <v>20</v>
      </c>
      <c r="K49" s="8"/>
      <c r="L49" s="8" t="s">
        <v>323</v>
      </c>
      <c r="M49" s="8"/>
      <c r="N49" s="8" t="s">
        <v>316</v>
      </c>
      <c r="O49" s="8" t="s">
        <v>329</v>
      </c>
      <c r="P49" s="8"/>
    </row>
    <row r="50" spans="1:16" x14ac:dyDescent="0.3">
      <c r="A50" s="8" t="s">
        <v>35</v>
      </c>
      <c r="B50" s="8" t="s">
        <v>383</v>
      </c>
      <c r="C50" s="8" t="s">
        <v>53</v>
      </c>
      <c r="D50" s="8" t="s">
        <v>322</v>
      </c>
      <c r="E50" s="8">
        <v>22</v>
      </c>
      <c r="F50" s="8">
        <v>1</v>
      </c>
      <c r="G50" s="8">
        <v>14</v>
      </c>
      <c r="H50" s="8">
        <v>4</v>
      </c>
      <c r="I50" s="8">
        <v>18</v>
      </c>
      <c r="J50" s="8">
        <v>18</v>
      </c>
      <c r="K50" s="8"/>
      <c r="L50" s="8" t="s">
        <v>323</v>
      </c>
      <c r="M50" s="8"/>
      <c r="N50" s="8" t="s">
        <v>316</v>
      </c>
      <c r="O50" s="8" t="s">
        <v>325</v>
      </c>
      <c r="P50" s="8"/>
    </row>
    <row r="51" spans="1:16" x14ac:dyDescent="0.3">
      <c r="A51" s="8" t="s">
        <v>125</v>
      </c>
      <c r="B51" s="8" t="s">
        <v>384</v>
      </c>
      <c r="C51" s="8" t="s">
        <v>165</v>
      </c>
      <c r="D51" s="8" t="s">
        <v>348</v>
      </c>
      <c r="E51" s="8">
        <v>21</v>
      </c>
      <c r="F51" s="8">
        <v>4</v>
      </c>
      <c r="G51" s="8">
        <v>10</v>
      </c>
      <c r="H51" s="8">
        <v>6</v>
      </c>
      <c r="I51" s="8">
        <v>16</v>
      </c>
      <c r="J51" s="8">
        <v>20</v>
      </c>
      <c r="K51" s="8"/>
      <c r="L51" s="8" t="s">
        <v>337</v>
      </c>
      <c r="M51" s="8"/>
      <c r="N51" s="8" t="s">
        <v>324</v>
      </c>
      <c r="O51" s="8" t="s">
        <v>329</v>
      </c>
      <c r="P51" s="8"/>
    </row>
    <row r="52" spans="1:16" x14ac:dyDescent="0.3">
      <c r="A52" s="8" t="s">
        <v>385</v>
      </c>
      <c r="B52" s="8" t="s">
        <v>386</v>
      </c>
      <c r="C52" s="8" t="s">
        <v>165</v>
      </c>
      <c r="D52" s="8" t="s">
        <v>322</v>
      </c>
      <c r="E52" s="8">
        <v>5</v>
      </c>
      <c r="F52" s="8">
        <v>4</v>
      </c>
      <c r="G52" s="8">
        <v>11</v>
      </c>
      <c r="H52" s="8">
        <v>3</v>
      </c>
      <c r="I52" s="8">
        <v>14</v>
      </c>
      <c r="J52" s="8">
        <v>18</v>
      </c>
      <c r="K52" s="8"/>
      <c r="L52" s="8" t="s">
        <v>315</v>
      </c>
      <c r="M52" s="8"/>
      <c r="N52" s="8" t="s">
        <v>316</v>
      </c>
      <c r="O52" s="8" t="s">
        <v>329</v>
      </c>
      <c r="P52" s="8"/>
    </row>
    <row r="53" spans="1:16" x14ac:dyDescent="0.3">
      <c r="A53" s="8" t="s">
        <v>387</v>
      </c>
      <c r="B53" s="8" t="s">
        <v>388</v>
      </c>
      <c r="C53" s="8" t="s">
        <v>24</v>
      </c>
      <c r="D53" s="8" t="s">
        <v>339</v>
      </c>
      <c r="E53" s="8">
        <v>22</v>
      </c>
      <c r="F53" s="8">
        <v>4</v>
      </c>
      <c r="G53" s="8">
        <v>16</v>
      </c>
      <c r="H53" s="8">
        <v>3</v>
      </c>
      <c r="I53" s="8">
        <v>19</v>
      </c>
      <c r="J53" s="8">
        <v>20</v>
      </c>
      <c r="K53" s="8"/>
      <c r="L53" s="8" t="s">
        <v>323</v>
      </c>
      <c r="M53" s="8"/>
      <c r="N53" s="8" t="s">
        <v>316</v>
      </c>
      <c r="O53" s="8" t="s">
        <v>329</v>
      </c>
      <c r="P53" s="8"/>
    </row>
    <row r="54" spans="1:16" x14ac:dyDescent="0.3">
      <c r="A54" s="11" t="s">
        <v>389</v>
      </c>
      <c r="B54" s="11" t="s">
        <v>390</v>
      </c>
      <c r="C54" s="11" t="s">
        <v>38</v>
      </c>
      <c r="D54" s="11" t="s">
        <v>339</v>
      </c>
      <c r="E54" s="11">
        <v>7</v>
      </c>
      <c r="F54" s="11">
        <v>2</v>
      </c>
      <c r="G54" s="11">
        <v>12</v>
      </c>
      <c r="H54" s="11">
        <v>4</v>
      </c>
      <c r="I54" s="11">
        <v>16</v>
      </c>
      <c r="J54" s="11">
        <v>20</v>
      </c>
      <c r="K54" s="11"/>
      <c r="L54" s="11" t="s">
        <v>323</v>
      </c>
      <c r="M54" s="11"/>
      <c r="N54" s="11" t="s">
        <v>316</v>
      </c>
      <c r="O54" s="11" t="s">
        <v>325</v>
      </c>
      <c r="P54" s="11"/>
    </row>
    <row r="55" spans="1:16" x14ac:dyDescent="0.3">
      <c r="A55" s="8" t="s">
        <v>391</v>
      </c>
      <c r="B55" s="8" t="s">
        <v>392</v>
      </c>
      <c r="C55" s="8" t="s">
        <v>165</v>
      </c>
      <c r="D55" s="8" t="s">
        <v>322</v>
      </c>
      <c r="E55" s="8">
        <v>12</v>
      </c>
      <c r="F55" s="8">
        <v>3</v>
      </c>
      <c r="G55" s="8">
        <v>12</v>
      </c>
      <c r="H55" s="8">
        <v>0</v>
      </c>
      <c r="I55" s="8">
        <v>12</v>
      </c>
      <c r="J55" s="8">
        <v>18</v>
      </c>
      <c r="K55" s="8"/>
      <c r="L55" s="8" t="s">
        <v>323</v>
      </c>
      <c r="M55" s="8"/>
      <c r="N55" s="8" t="s">
        <v>316</v>
      </c>
      <c r="O55" s="8" t="s">
        <v>325</v>
      </c>
      <c r="P55" s="8"/>
    </row>
    <row r="56" spans="1:16" x14ac:dyDescent="0.3">
      <c r="A56" s="8" t="s">
        <v>393</v>
      </c>
      <c r="B56" s="8" t="s">
        <v>394</v>
      </c>
      <c r="C56" s="8" t="s">
        <v>53</v>
      </c>
      <c r="D56" s="8" t="s">
        <v>322</v>
      </c>
      <c r="E56" s="8">
        <v>3</v>
      </c>
      <c r="F56" s="8">
        <v>3</v>
      </c>
      <c r="G56" s="8">
        <v>15</v>
      </c>
      <c r="H56" s="8">
        <v>5</v>
      </c>
      <c r="I56" s="8">
        <v>20</v>
      </c>
      <c r="J56" s="8">
        <v>18</v>
      </c>
      <c r="K56" s="8"/>
      <c r="L56" s="8" t="s">
        <v>323</v>
      </c>
      <c r="M56" s="8"/>
      <c r="N56" s="8" t="s">
        <v>324</v>
      </c>
      <c r="O56" s="8" t="s">
        <v>317</v>
      </c>
      <c r="P56" s="8"/>
    </row>
    <row r="57" spans="1:16" x14ac:dyDescent="0.3">
      <c r="A57" s="3" t="s">
        <v>395</v>
      </c>
      <c r="B57" s="3" t="s">
        <v>353</v>
      </c>
      <c r="C57" s="3" t="s">
        <v>38</v>
      </c>
      <c r="D57" s="3" t="s">
        <v>348</v>
      </c>
      <c r="E57" s="3">
        <v>20</v>
      </c>
      <c r="F57" s="3">
        <v>2</v>
      </c>
      <c r="G57" s="3">
        <v>11</v>
      </c>
      <c r="H57" s="3">
        <v>0</v>
      </c>
      <c r="I57" s="3">
        <v>11</v>
      </c>
      <c r="J57" s="3">
        <v>20</v>
      </c>
      <c r="K57" s="3"/>
      <c r="L57" s="3" t="s">
        <v>315</v>
      </c>
      <c r="M57" s="3"/>
      <c r="N57" s="3" t="s">
        <v>324</v>
      </c>
      <c r="O57" s="3" t="s">
        <v>329</v>
      </c>
      <c r="P57" s="3"/>
    </row>
    <row r="58" spans="1:16" x14ac:dyDescent="0.3">
      <c r="A58" s="11" t="s">
        <v>396</v>
      </c>
      <c r="B58" s="11" t="s">
        <v>397</v>
      </c>
      <c r="C58" s="11" t="s">
        <v>93</v>
      </c>
      <c r="D58" s="11" t="s">
        <v>314</v>
      </c>
      <c r="E58" s="11">
        <v>22</v>
      </c>
      <c r="F58" s="11">
        <v>2</v>
      </c>
      <c r="G58" s="11">
        <v>8</v>
      </c>
      <c r="H58" s="11">
        <v>4</v>
      </c>
      <c r="I58" s="11">
        <v>12</v>
      </c>
      <c r="J58" s="11">
        <v>20</v>
      </c>
      <c r="K58" s="11"/>
      <c r="L58" s="11" t="s">
        <v>323</v>
      </c>
      <c r="M58" s="11"/>
      <c r="N58" s="11" t="s">
        <v>316</v>
      </c>
      <c r="O58" s="11" t="s">
        <v>325</v>
      </c>
      <c r="P58" s="11"/>
    </row>
    <row r="59" spans="1:16" x14ac:dyDescent="0.3">
      <c r="A59" s="8" t="s">
        <v>398</v>
      </c>
      <c r="B59" s="8" t="s">
        <v>399</v>
      </c>
      <c r="C59" s="8" t="s">
        <v>38</v>
      </c>
      <c r="D59" s="8" t="s">
        <v>320</v>
      </c>
      <c r="E59" s="8">
        <v>21</v>
      </c>
      <c r="F59" s="8">
        <v>2</v>
      </c>
      <c r="G59" s="8">
        <v>16</v>
      </c>
      <c r="H59" s="8">
        <v>5</v>
      </c>
      <c r="I59" s="8">
        <v>21</v>
      </c>
      <c r="J59" s="8">
        <v>20</v>
      </c>
      <c r="K59" s="8"/>
      <c r="L59" s="8" t="s">
        <v>328</v>
      </c>
      <c r="M59" s="8"/>
      <c r="N59" s="8" t="s">
        <v>324</v>
      </c>
      <c r="O59" s="8" t="s">
        <v>325</v>
      </c>
      <c r="P59" s="8"/>
    </row>
    <row r="60" spans="1:16" x14ac:dyDescent="0.3">
      <c r="A60" s="11" t="s">
        <v>400</v>
      </c>
      <c r="B60" s="11" t="s">
        <v>401</v>
      </c>
      <c r="C60" s="11" t="s">
        <v>138</v>
      </c>
      <c r="D60" s="11" t="s">
        <v>314</v>
      </c>
      <c r="E60" s="11">
        <v>30</v>
      </c>
      <c r="F60" s="11">
        <v>3</v>
      </c>
      <c r="G60" s="11">
        <v>8</v>
      </c>
      <c r="H60" s="11">
        <v>0</v>
      </c>
      <c r="I60" s="11">
        <v>8</v>
      </c>
      <c r="J60" s="11">
        <v>20</v>
      </c>
      <c r="K60" s="11"/>
      <c r="L60" s="11" t="s">
        <v>331</v>
      </c>
      <c r="M60" s="11"/>
      <c r="N60" s="11" t="s">
        <v>324</v>
      </c>
      <c r="O60" s="11" t="s">
        <v>325</v>
      </c>
      <c r="P60" s="11"/>
    </row>
    <row r="61" spans="1:16" x14ac:dyDescent="0.3">
      <c r="A61" s="3" t="s">
        <v>402</v>
      </c>
      <c r="B61" s="3" t="s">
        <v>403</v>
      </c>
      <c r="C61" s="3" t="s">
        <v>165</v>
      </c>
      <c r="D61" s="3" t="s">
        <v>348</v>
      </c>
      <c r="E61" s="3">
        <v>15</v>
      </c>
      <c r="F61" s="3">
        <v>3</v>
      </c>
      <c r="G61" s="3">
        <v>11</v>
      </c>
      <c r="H61" s="3">
        <v>6</v>
      </c>
      <c r="I61" s="3">
        <v>17</v>
      </c>
      <c r="J61" s="3">
        <v>20</v>
      </c>
      <c r="K61" s="3"/>
      <c r="L61" s="3" t="s">
        <v>323</v>
      </c>
      <c r="M61" s="3"/>
      <c r="N61" s="3" t="s">
        <v>324</v>
      </c>
      <c r="O61" s="3" t="s">
        <v>329</v>
      </c>
      <c r="P61" s="3"/>
    </row>
    <row r="62" spans="1:16" x14ac:dyDescent="0.3">
      <c r="A62" s="8" t="s">
        <v>404</v>
      </c>
      <c r="B62" s="8" t="s">
        <v>388</v>
      </c>
      <c r="C62" s="8" t="s">
        <v>53</v>
      </c>
      <c r="D62" s="8" t="s">
        <v>322</v>
      </c>
      <c r="E62" s="8">
        <v>19</v>
      </c>
      <c r="F62" s="8">
        <v>2</v>
      </c>
      <c r="G62" s="8">
        <v>10</v>
      </c>
      <c r="H62" s="8">
        <v>4</v>
      </c>
      <c r="I62" s="8">
        <v>14</v>
      </c>
      <c r="J62" s="8">
        <v>18</v>
      </c>
      <c r="K62" s="8"/>
      <c r="L62" s="8" t="s">
        <v>337</v>
      </c>
      <c r="M62" s="8"/>
      <c r="N62" s="8" t="s">
        <v>316</v>
      </c>
      <c r="O62" s="8" t="s">
        <v>329</v>
      </c>
      <c r="P62" s="8"/>
    </row>
    <row r="63" spans="1:16" x14ac:dyDescent="0.3">
      <c r="A63" s="3" t="s">
        <v>405</v>
      </c>
      <c r="B63" s="3" t="s">
        <v>406</v>
      </c>
      <c r="C63" s="3" t="s">
        <v>15</v>
      </c>
      <c r="D63" s="3" t="s">
        <v>348</v>
      </c>
      <c r="E63" s="3">
        <v>16</v>
      </c>
      <c r="F63" s="3">
        <v>3</v>
      </c>
      <c r="G63" s="3">
        <v>11</v>
      </c>
      <c r="H63" s="3">
        <v>0</v>
      </c>
      <c r="I63" s="3">
        <v>11</v>
      </c>
      <c r="J63" s="3">
        <v>20</v>
      </c>
      <c r="K63" s="3"/>
      <c r="L63" s="3" t="s">
        <v>323</v>
      </c>
      <c r="M63" s="3"/>
      <c r="N63" s="3" t="s">
        <v>324</v>
      </c>
      <c r="O63" s="3" t="s">
        <v>325</v>
      </c>
      <c r="P63" s="3"/>
    </row>
    <row r="64" spans="1:16" x14ac:dyDescent="0.3">
      <c r="A64" s="11" t="s">
        <v>407</v>
      </c>
      <c r="B64" s="11" t="s">
        <v>408</v>
      </c>
      <c r="C64" s="11" t="s">
        <v>53</v>
      </c>
      <c r="D64" s="11" t="s">
        <v>322</v>
      </c>
      <c r="E64" s="11">
        <v>12</v>
      </c>
      <c r="F64" s="11">
        <v>2</v>
      </c>
      <c r="G64" s="11">
        <v>8</v>
      </c>
      <c r="H64" s="11">
        <v>5</v>
      </c>
      <c r="I64" s="11">
        <v>13</v>
      </c>
      <c r="J64" s="11">
        <v>18</v>
      </c>
      <c r="K64" s="11"/>
      <c r="L64" s="11" t="s">
        <v>323</v>
      </c>
      <c r="M64" s="11"/>
      <c r="N64" s="11" t="s">
        <v>316</v>
      </c>
      <c r="O64" s="11" t="s">
        <v>317</v>
      </c>
      <c r="P64" s="11"/>
    </row>
    <row r="65" spans="1:16" x14ac:dyDescent="0.3">
      <c r="A65" s="3" t="s">
        <v>409</v>
      </c>
      <c r="B65" s="3" t="s">
        <v>410</v>
      </c>
      <c r="C65" s="3" t="s">
        <v>38</v>
      </c>
      <c r="D65" s="3" t="s">
        <v>322</v>
      </c>
      <c r="E65" s="3">
        <v>8</v>
      </c>
      <c r="F65" s="3">
        <v>2</v>
      </c>
      <c r="G65" s="3">
        <v>10</v>
      </c>
      <c r="H65" s="3">
        <v>3</v>
      </c>
      <c r="I65" s="3">
        <v>13</v>
      </c>
      <c r="J65" s="3">
        <v>18</v>
      </c>
      <c r="K65" s="3"/>
      <c r="L65" s="3" t="s">
        <v>331</v>
      </c>
      <c r="M65" s="3"/>
      <c r="N65" s="3" t="s">
        <v>316</v>
      </c>
      <c r="O65" s="3" t="s">
        <v>325</v>
      </c>
      <c r="P65" s="3"/>
    </row>
    <row r="66" spans="1:16" x14ac:dyDescent="0.3">
      <c r="A66" s="8" t="s">
        <v>411</v>
      </c>
      <c r="B66" s="8" t="s">
        <v>412</v>
      </c>
      <c r="C66" s="8" t="s">
        <v>24</v>
      </c>
      <c r="D66" s="8" t="s">
        <v>348</v>
      </c>
      <c r="E66" s="8">
        <v>25</v>
      </c>
      <c r="F66" s="8">
        <v>1</v>
      </c>
      <c r="G66" s="8">
        <v>16</v>
      </c>
      <c r="H66" s="8">
        <v>3</v>
      </c>
      <c r="I66" s="8">
        <v>19</v>
      </c>
      <c r="J66" s="8">
        <v>20</v>
      </c>
      <c r="K66" s="8"/>
      <c r="L66" s="8" t="s">
        <v>315</v>
      </c>
      <c r="M66" s="8"/>
      <c r="N66" s="8" t="s">
        <v>324</v>
      </c>
      <c r="O66" s="8" t="s">
        <v>329</v>
      </c>
      <c r="P66" s="8"/>
    </row>
    <row r="67" spans="1:16" x14ac:dyDescent="0.3">
      <c r="A67" s="8" t="s">
        <v>413</v>
      </c>
      <c r="B67" s="8" t="s">
        <v>414</v>
      </c>
      <c r="C67" s="8" t="s">
        <v>24</v>
      </c>
      <c r="D67" s="8" t="s">
        <v>339</v>
      </c>
      <c r="E67" s="8">
        <v>5</v>
      </c>
      <c r="F67" s="8">
        <v>2</v>
      </c>
      <c r="G67" s="8">
        <v>13</v>
      </c>
      <c r="H67" s="8">
        <v>6</v>
      </c>
      <c r="I67" s="8">
        <v>19</v>
      </c>
      <c r="J67" s="8">
        <v>20</v>
      </c>
      <c r="K67" s="8"/>
      <c r="L67" s="8" t="s">
        <v>331</v>
      </c>
      <c r="M67" s="8"/>
      <c r="N67" s="8" t="s">
        <v>324</v>
      </c>
      <c r="O67" s="8" t="s">
        <v>329</v>
      </c>
      <c r="P67" s="8"/>
    </row>
    <row r="68" spans="1:16" x14ac:dyDescent="0.3">
      <c r="A68" s="8" t="s">
        <v>415</v>
      </c>
      <c r="B68" s="8" t="s">
        <v>416</v>
      </c>
      <c r="C68" s="8" t="s">
        <v>165</v>
      </c>
      <c r="D68" s="8" t="s">
        <v>320</v>
      </c>
      <c r="E68" s="8">
        <v>5</v>
      </c>
      <c r="F68" s="8">
        <v>4</v>
      </c>
      <c r="G68" s="8">
        <v>15</v>
      </c>
      <c r="H68" s="8">
        <v>4</v>
      </c>
      <c r="I68" s="8">
        <v>19</v>
      </c>
      <c r="J68" s="8">
        <v>20</v>
      </c>
      <c r="K68" s="8"/>
      <c r="L68" s="8" t="s">
        <v>323</v>
      </c>
      <c r="M68" s="8"/>
      <c r="N68" s="8" t="s">
        <v>316</v>
      </c>
      <c r="O68" s="8" t="s">
        <v>329</v>
      </c>
      <c r="P68" s="8"/>
    </row>
    <row r="69" spans="1:16" x14ac:dyDescent="0.3">
      <c r="A69" s="8" t="s">
        <v>417</v>
      </c>
      <c r="B69" s="8" t="s">
        <v>384</v>
      </c>
      <c r="C69" s="8" t="s">
        <v>138</v>
      </c>
      <c r="D69" s="8" t="s">
        <v>322</v>
      </c>
      <c r="E69" s="8">
        <v>24</v>
      </c>
      <c r="F69" s="8">
        <v>2</v>
      </c>
      <c r="G69" s="8">
        <v>17</v>
      </c>
      <c r="H69" s="8">
        <v>0</v>
      </c>
      <c r="I69" s="8">
        <v>17</v>
      </c>
      <c r="J69" s="8">
        <v>18</v>
      </c>
      <c r="K69" s="8"/>
      <c r="L69" s="8" t="s">
        <v>315</v>
      </c>
      <c r="M69" s="8"/>
      <c r="N69" s="8" t="s">
        <v>316</v>
      </c>
      <c r="O69" s="8" t="s">
        <v>329</v>
      </c>
      <c r="P69" s="8"/>
    </row>
    <row r="70" spans="1:16" x14ac:dyDescent="0.3">
      <c r="A70" s="8" t="s">
        <v>418</v>
      </c>
      <c r="B70" s="8" t="s">
        <v>416</v>
      </c>
      <c r="C70" s="8" t="s">
        <v>165</v>
      </c>
      <c r="D70" s="8" t="s">
        <v>320</v>
      </c>
      <c r="E70" s="8">
        <v>14</v>
      </c>
      <c r="F70" s="8">
        <v>2</v>
      </c>
      <c r="G70" s="8">
        <v>10</v>
      </c>
      <c r="H70" s="8">
        <v>6</v>
      </c>
      <c r="I70" s="8">
        <v>16</v>
      </c>
      <c r="J70" s="8">
        <v>20</v>
      </c>
      <c r="K70" s="8"/>
      <c r="L70" s="8" t="s">
        <v>334</v>
      </c>
      <c r="M70" s="8"/>
      <c r="N70" s="8" t="s">
        <v>316</v>
      </c>
      <c r="O70" s="8" t="s">
        <v>325</v>
      </c>
      <c r="P70" s="8"/>
    </row>
    <row r="71" spans="1:16" x14ac:dyDescent="0.3">
      <c r="A71" s="8" t="s">
        <v>419</v>
      </c>
      <c r="B71" s="8" t="s">
        <v>420</v>
      </c>
      <c r="C71" s="8" t="s">
        <v>32</v>
      </c>
      <c r="D71" s="8" t="s">
        <v>322</v>
      </c>
      <c r="E71" s="8">
        <v>6</v>
      </c>
      <c r="F71" s="8">
        <v>4</v>
      </c>
      <c r="G71" s="8">
        <v>16</v>
      </c>
      <c r="H71" s="8">
        <v>1</v>
      </c>
      <c r="I71" s="8">
        <v>17</v>
      </c>
      <c r="J71" s="8">
        <v>18</v>
      </c>
      <c r="K71" s="8"/>
      <c r="L71" s="8" t="s">
        <v>331</v>
      </c>
      <c r="M71" s="8"/>
      <c r="N71" s="8" t="s">
        <v>324</v>
      </c>
      <c r="O71" s="8" t="s">
        <v>317</v>
      </c>
      <c r="P71" s="8"/>
    </row>
    <row r="72" spans="1:16" x14ac:dyDescent="0.3">
      <c r="A72" s="11" t="s">
        <v>421</v>
      </c>
      <c r="B72" s="11" t="s">
        <v>422</v>
      </c>
      <c r="C72" s="11" t="s">
        <v>138</v>
      </c>
      <c r="D72" s="11" t="s">
        <v>339</v>
      </c>
      <c r="E72" s="11">
        <v>27</v>
      </c>
      <c r="F72" s="11">
        <v>2</v>
      </c>
      <c r="G72" s="11">
        <v>11</v>
      </c>
      <c r="H72" s="11">
        <v>3</v>
      </c>
      <c r="I72" s="11">
        <v>14</v>
      </c>
      <c r="J72" s="11">
        <v>20</v>
      </c>
      <c r="K72" s="11"/>
      <c r="L72" s="11" t="s">
        <v>337</v>
      </c>
      <c r="M72" s="11"/>
      <c r="N72" s="11" t="s">
        <v>316</v>
      </c>
      <c r="O72" s="11" t="s">
        <v>317</v>
      </c>
      <c r="P72" s="11"/>
    </row>
    <row r="73" spans="1:16" x14ac:dyDescent="0.3">
      <c r="A73" s="3" t="s">
        <v>423</v>
      </c>
      <c r="B73" s="3" t="s">
        <v>424</v>
      </c>
      <c r="C73" s="3" t="s">
        <v>138</v>
      </c>
      <c r="D73" s="3" t="s">
        <v>339</v>
      </c>
      <c r="E73" s="3">
        <v>8</v>
      </c>
      <c r="F73" s="3">
        <v>2</v>
      </c>
      <c r="G73" s="3">
        <v>9</v>
      </c>
      <c r="H73" s="3">
        <v>0</v>
      </c>
      <c r="I73" s="3">
        <v>9</v>
      </c>
      <c r="J73" s="3">
        <v>20</v>
      </c>
      <c r="K73" s="3"/>
      <c r="L73" s="3" t="s">
        <v>315</v>
      </c>
      <c r="M73" s="3"/>
      <c r="N73" s="3" t="s">
        <v>316</v>
      </c>
      <c r="O73" s="3" t="s">
        <v>329</v>
      </c>
      <c r="P73" s="3"/>
    </row>
    <row r="74" spans="1:16" x14ac:dyDescent="0.3">
      <c r="A74" s="11" t="s">
        <v>425</v>
      </c>
      <c r="B74" s="11" t="s">
        <v>426</v>
      </c>
      <c r="C74" s="11" t="s">
        <v>53</v>
      </c>
      <c r="D74" s="11" t="s">
        <v>314</v>
      </c>
      <c r="E74" s="11">
        <v>8</v>
      </c>
      <c r="F74" s="11">
        <v>2</v>
      </c>
      <c r="G74" s="11">
        <v>8</v>
      </c>
      <c r="H74" s="11">
        <v>1</v>
      </c>
      <c r="I74" s="11">
        <v>9</v>
      </c>
      <c r="J74" s="11">
        <v>20</v>
      </c>
      <c r="K74" s="11"/>
      <c r="L74" s="11" t="s">
        <v>323</v>
      </c>
      <c r="M74" s="11"/>
      <c r="N74" s="11" t="s">
        <v>324</v>
      </c>
      <c r="O74" s="11" t="s">
        <v>329</v>
      </c>
      <c r="P74" s="11"/>
    </row>
    <row r="75" spans="1:16" x14ac:dyDescent="0.3">
      <c r="A75" s="8" t="s">
        <v>427</v>
      </c>
      <c r="B75" s="8" t="s">
        <v>372</v>
      </c>
      <c r="C75" s="8" t="s">
        <v>93</v>
      </c>
      <c r="D75" s="8" t="s">
        <v>348</v>
      </c>
      <c r="E75" s="8">
        <v>29</v>
      </c>
      <c r="F75" s="8">
        <v>2</v>
      </c>
      <c r="G75" s="8">
        <v>18</v>
      </c>
      <c r="H75" s="8">
        <v>4</v>
      </c>
      <c r="I75" s="8">
        <v>22</v>
      </c>
      <c r="J75" s="8">
        <v>20</v>
      </c>
      <c r="K75" s="8"/>
      <c r="L75" s="8" t="s">
        <v>328</v>
      </c>
      <c r="M75" s="8"/>
      <c r="N75" s="8" t="s">
        <v>316</v>
      </c>
      <c r="O75" s="8" t="s">
        <v>325</v>
      </c>
      <c r="P75" s="8"/>
    </row>
    <row r="76" spans="1:16" x14ac:dyDescent="0.3">
      <c r="A76" s="8" t="s">
        <v>428</v>
      </c>
      <c r="B76" s="8" t="s">
        <v>429</v>
      </c>
      <c r="C76" s="8" t="s">
        <v>138</v>
      </c>
      <c r="D76" s="8" t="s">
        <v>339</v>
      </c>
      <c r="E76" s="8">
        <v>2</v>
      </c>
      <c r="F76" s="8">
        <v>3</v>
      </c>
      <c r="G76" s="8">
        <v>18</v>
      </c>
      <c r="H76" s="8">
        <v>5</v>
      </c>
      <c r="I76" s="8">
        <v>23</v>
      </c>
      <c r="J76" s="8">
        <v>20</v>
      </c>
      <c r="K76" s="8"/>
      <c r="L76" s="8" t="s">
        <v>334</v>
      </c>
      <c r="M76" s="8"/>
      <c r="N76" s="8" t="s">
        <v>316</v>
      </c>
      <c r="O76" s="8" t="s">
        <v>329</v>
      </c>
      <c r="P76" s="8"/>
    </row>
    <row r="77" spans="1:16" x14ac:dyDescent="0.3">
      <c r="A77" s="3" t="s">
        <v>430</v>
      </c>
      <c r="B77" s="3" t="s">
        <v>394</v>
      </c>
      <c r="C77" s="3" t="s">
        <v>138</v>
      </c>
      <c r="D77" s="3" t="s">
        <v>348</v>
      </c>
      <c r="E77" s="3">
        <v>16</v>
      </c>
      <c r="F77" s="3">
        <v>2</v>
      </c>
      <c r="G77" s="3">
        <v>11</v>
      </c>
      <c r="H77" s="3">
        <v>2</v>
      </c>
      <c r="I77" s="3">
        <v>13</v>
      </c>
      <c r="J77" s="3">
        <v>20</v>
      </c>
      <c r="K77" s="3"/>
      <c r="L77" s="3" t="s">
        <v>334</v>
      </c>
      <c r="M77" s="3"/>
      <c r="N77" s="3" t="s">
        <v>316</v>
      </c>
      <c r="O77" s="3" t="s">
        <v>317</v>
      </c>
      <c r="P77" s="3"/>
    </row>
    <row r="78" spans="1:16" x14ac:dyDescent="0.3">
      <c r="A78" s="8" t="s">
        <v>431</v>
      </c>
      <c r="B78" s="8" t="s">
        <v>432</v>
      </c>
      <c r="C78" s="8" t="s">
        <v>32</v>
      </c>
      <c r="D78" s="8" t="s">
        <v>314</v>
      </c>
      <c r="E78" s="8">
        <v>9</v>
      </c>
      <c r="F78" s="8">
        <v>2</v>
      </c>
      <c r="G78" s="8">
        <v>13</v>
      </c>
      <c r="H78" s="8">
        <v>5</v>
      </c>
      <c r="I78" s="8">
        <v>18</v>
      </c>
      <c r="J78" s="8">
        <v>20</v>
      </c>
      <c r="K78" s="8"/>
      <c r="L78" s="8" t="s">
        <v>323</v>
      </c>
      <c r="M78" s="8"/>
      <c r="N78" s="8" t="s">
        <v>316</v>
      </c>
      <c r="O78" s="8" t="s">
        <v>317</v>
      </c>
      <c r="P78" s="8"/>
    </row>
    <row r="79" spans="1:16" x14ac:dyDescent="0.3">
      <c r="A79" s="8" t="s">
        <v>433</v>
      </c>
      <c r="B79" s="8" t="s">
        <v>434</v>
      </c>
      <c r="C79" s="8" t="s">
        <v>138</v>
      </c>
      <c r="D79" s="8" t="s">
        <v>339</v>
      </c>
      <c r="E79" s="8">
        <v>2</v>
      </c>
      <c r="F79" s="8">
        <v>1</v>
      </c>
      <c r="G79" s="8">
        <v>11</v>
      </c>
      <c r="H79" s="8">
        <v>6</v>
      </c>
      <c r="I79" s="8">
        <v>17</v>
      </c>
      <c r="J79" s="8">
        <v>20</v>
      </c>
      <c r="K79" s="8"/>
      <c r="L79" s="8" t="s">
        <v>323</v>
      </c>
      <c r="M79" s="8"/>
      <c r="N79" s="8" t="s">
        <v>324</v>
      </c>
      <c r="O79" s="8" t="s">
        <v>325</v>
      </c>
      <c r="P79" s="8"/>
    </row>
    <row r="80" spans="1:16" x14ac:dyDescent="0.3">
      <c r="A80" s="8" t="s">
        <v>435</v>
      </c>
      <c r="B80" s="8" t="s">
        <v>352</v>
      </c>
      <c r="C80" s="8" t="s">
        <v>53</v>
      </c>
      <c r="D80" s="8" t="s">
        <v>348</v>
      </c>
      <c r="E80" s="8">
        <v>24</v>
      </c>
      <c r="F80" s="8">
        <v>1</v>
      </c>
      <c r="G80" s="8">
        <v>15</v>
      </c>
      <c r="H80" s="8">
        <v>1</v>
      </c>
      <c r="I80" s="8">
        <v>16</v>
      </c>
      <c r="J80" s="8">
        <v>20</v>
      </c>
      <c r="K80" s="8"/>
      <c r="L80" s="8" t="s">
        <v>323</v>
      </c>
      <c r="M80" s="8"/>
      <c r="N80" s="8" t="s">
        <v>324</v>
      </c>
      <c r="O80" s="8" t="s">
        <v>325</v>
      </c>
      <c r="P80" s="8"/>
    </row>
    <row r="81" spans="1:16" x14ac:dyDescent="0.3">
      <c r="A81" s="8" t="s">
        <v>436</v>
      </c>
      <c r="B81" s="8" t="s">
        <v>369</v>
      </c>
      <c r="C81" s="8" t="s">
        <v>165</v>
      </c>
      <c r="D81" s="8" t="s">
        <v>339</v>
      </c>
      <c r="E81" s="8">
        <v>12</v>
      </c>
      <c r="F81" s="8">
        <v>3</v>
      </c>
      <c r="G81" s="8">
        <v>12</v>
      </c>
      <c r="H81" s="8">
        <v>2</v>
      </c>
      <c r="I81" s="8">
        <v>14</v>
      </c>
      <c r="J81" s="8">
        <v>20</v>
      </c>
      <c r="K81" s="8"/>
      <c r="L81" s="8" t="s">
        <v>331</v>
      </c>
      <c r="M81" s="8"/>
      <c r="N81" s="8" t="s">
        <v>316</v>
      </c>
      <c r="O81" s="8" t="s">
        <v>317</v>
      </c>
      <c r="P81" s="8"/>
    </row>
    <row r="82" spans="1:16" x14ac:dyDescent="0.3">
      <c r="A82" s="8" t="s">
        <v>437</v>
      </c>
      <c r="B82" s="8" t="s">
        <v>382</v>
      </c>
      <c r="C82" s="8" t="s">
        <v>24</v>
      </c>
      <c r="D82" s="8" t="s">
        <v>322</v>
      </c>
      <c r="E82" s="8">
        <v>14</v>
      </c>
      <c r="F82" s="8">
        <v>1</v>
      </c>
      <c r="G82" s="8">
        <v>17</v>
      </c>
      <c r="H82" s="8">
        <v>6</v>
      </c>
      <c r="I82" s="8">
        <v>23</v>
      </c>
      <c r="J82" s="8">
        <v>18</v>
      </c>
      <c r="K82" s="8"/>
      <c r="L82" s="8" t="s">
        <v>334</v>
      </c>
      <c r="M82" s="8"/>
      <c r="N82" s="8" t="s">
        <v>324</v>
      </c>
      <c r="O82" s="8" t="s">
        <v>325</v>
      </c>
      <c r="P82" s="8"/>
    </row>
    <row r="83" spans="1:16" x14ac:dyDescent="0.3">
      <c r="A83" s="8" t="s">
        <v>438</v>
      </c>
      <c r="B83" s="8" t="s">
        <v>439</v>
      </c>
      <c r="C83" s="8" t="s">
        <v>24</v>
      </c>
      <c r="D83" s="8" t="s">
        <v>322</v>
      </c>
      <c r="E83" s="8">
        <v>13</v>
      </c>
      <c r="F83" s="8">
        <v>2</v>
      </c>
      <c r="G83" s="8">
        <v>15</v>
      </c>
      <c r="H83" s="8">
        <v>4</v>
      </c>
      <c r="I83" s="8">
        <v>19</v>
      </c>
      <c r="J83" s="8">
        <v>18</v>
      </c>
      <c r="K83" s="8"/>
      <c r="L83" s="8" t="s">
        <v>331</v>
      </c>
      <c r="M83" s="8"/>
      <c r="N83" s="8" t="s">
        <v>316</v>
      </c>
      <c r="O83" s="8" t="s">
        <v>325</v>
      </c>
      <c r="P83" s="8"/>
    </row>
    <row r="84" spans="1:16" x14ac:dyDescent="0.3">
      <c r="A84" s="11" t="s">
        <v>440</v>
      </c>
      <c r="B84" s="11" t="s">
        <v>441</v>
      </c>
      <c r="C84" s="11" t="s">
        <v>93</v>
      </c>
      <c r="D84" s="11" t="s">
        <v>348</v>
      </c>
      <c r="E84" s="11">
        <v>24</v>
      </c>
      <c r="F84" s="11">
        <v>4</v>
      </c>
      <c r="G84" s="11">
        <v>10</v>
      </c>
      <c r="H84" s="11">
        <v>4</v>
      </c>
      <c r="I84" s="11">
        <v>14</v>
      </c>
      <c r="J84" s="11">
        <v>20</v>
      </c>
      <c r="K84" s="11"/>
      <c r="L84" s="11" t="s">
        <v>315</v>
      </c>
      <c r="M84" s="11"/>
      <c r="N84" s="11" t="s">
        <v>324</v>
      </c>
      <c r="O84" s="11" t="s">
        <v>317</v>
      </c>
      <c r="P84" s="11"/>
    </row>
    <row r="85" spans="1:16" x14ac:dyDescent="0.3">
      <c r="A85" s="3" t="s">
        <v>442</v>
      </c>
      <c r="B85" s="3" t="s">
        <v>443</v>
      </c>
      <c r="C85" s="3" t="s">
        <v>32</v>
      </c>
      <c r="D85" s="3" t="s">
        <v>348</v>
      </c>
      <c r="E85" s="3">
        <v>23</v>
      </c>
      <c r="F85" s="3">
        <v>2</v>
      </c>
      <c r="G85" s="3">
        <v>8</v>
      </c>
      <c r="H85" s="3">
        <v>1</v>
      </c>
      <c r="I85" s="3">
        <v>9</v>
      </c>
      <c r="J85" s="3">
        <v>20</v>
      </c>
      <c r="K85" s="3"/>
      <c r="L85" s="3" t="s">
        <v>331</v>
      </c>
      <c r="M85" s="3"/>
      <c r="N85" s="3" t="s">
        <v>316</v>
      </c>
      <c r="O85" s="3" t="s">
        <v>317</v>
      </c>
      <c r="P85" s="3"/>
    </row>
    <row r="86" spans="1:16" x14ac:dyDescent="0.3">
      <c r="A86" s="11" t="s">
        <v>444</v>
      </c>
      <c r="B86" s="11" t="s">
        <v>445</v>
      </c>
      <c r="C86" s="11" t="s">
        <v>53</v>
      </c>
      <c r="D86" s="11" t="s">
        <v>320</v>
      </c>
      <c r="E86" s="11">
        <v>18</v>
      </c>
      <c r="F86" s="11">
        <v>4</v>
      </c>
      <c r="G86" s="11">
        <v>8</v>
      </c>
      <c r="H86" s="11">
        <v>0</v>
      </c>
      <c r="I86" s="11">
        <v>8</v>
      </c>
      <c r="J86" s="11">
        <v>20</v>
      </c>
      <c r="K86" s="11"/>
      <c r="L86" s="11" t="s">
        <v>334</v>
      </c>
      <c r="M86" s="11"/>
      <c r="N86" s="11" t="s">
        <v>316</v>
      </c>
      <c r="O86" s="11" t="s">
        <v>317</v>
      </c>
      <c r="P86" s="11"/>
    </row>
    <row r="87" spans="1:16" x14ac:dyDescent="0.3">
      <c r="A87" s="8" t="s">
        <v>446</v>
      </c>
      <c r="B87" s="8" t="s">
        <v>447</v>
      </c>
      <c r="C87" s="8" t="s">
        <v>15</v>
      </c>
      <c r="D87" s="8" t="s">
        <v>339</v>
      </c>
      <c r="E87" s="8">
        <v>8</v>
      </c>
      <c r="F87" s="8">
        <v>2</v>
      </c>
      <c r="G87" s="8">
        <v>17</v>
      </c>
      <c r="H87" s="8">
        <v>4</v>
      </c>
      <c r="I87" s="8">
        <v>21</v>
      </c>
      <c r="J87" s="8">
        <v>20</v>
      </c>
      <c r="K87" s="8"/>
      <c r="L87" s="8" t="s">
        <v>323</v>
      </c>
      <c r="M87" s="8"/>
      <c r="N87" s="8" t="s">
        <v>316</v>
      </c>
      <c r="O87" s="8" t="s">
        <v>325</v>
      </c>
      <c r="P87" s="8"/>
    </row>
    <row r="88" spans="1:16" x14ac:dyDescent="0.3">
      <c r="A88" s="8" t="s">
        <v>448</v>
      </c>
      <c r="B88" s="8" t="s">
        <v>449</v>
      </c>
      <c r="C88" s="8" t="s">
        <v>24</v>
      </c>
      <c r="D88" s="8" t="s">
        <v>348</v>
      </c>
      <c r="E88" s="8">
        <v>22</v>
      </c>
      <c r="F88" s="8">
        <v>1</v>
      </c>
      <c r="G88" s="8">
        <v>18</v>
      </c>
      <c r="H88" s="8">
        <v>6</v>
      </c>
      <c r="I88" s="8">
        <v>24</v>
      </c>
      <c r="J88" s="8">
        <v>20</v>
      </c>
      <c r="K88" s="8"/>
      <c r="L88" s="8" t="s">
        <v>334</v>
      </c>
      <c r="M88" s="8"/>
      <c r="N88" s="8" t="s">
        <v>324</v>
      </c>
      <c r="O88" s="8" t="s">
        <v>325</v>
      </c>
      <c r="P88" s="8"/>
    </row>
    <row r="89" spans="1:16" x14ac:dyDescent="0.3">
      <c r="A89" s="8" t="s">
        <v>450</v>
      </c>
      <c r="B89" s="8" t="s">
        <v>451</v>
      </c>
      <c r="C89" s="8" t="s">
        <v>53</v>
      </c>
      <c r="D89" s="8" t="s">
        <v>320</v>
      </c>
      <c r="E89" s="8">
        <v>6</v>
      </c>
      <c r="F89" s="8">
        <v>1</v>
      </c>
      <c r="G89" s="8">
        <v>15</v>
      </c>
      <c r="H89" s="8">
        <v>6</v>
      </c>
      <c r="I89" s="8">
        <v>21</v>
      </c>
      <c r="J89" s="8">
        <v>20</v>
      </c>
      <c r="K89" s="8"/>
      <c r="L89" s="8" t="s">
        <v>323</v>
      </c>
      <c r="M89" s="8"/>
      <c r="N89" s="8" t="s">
        <v>324</v>
      </c>
      <c r="O89" s="8" t="s">
        <v>329</v>
      </c>
      <c r="P89" s="8"/>
    </row>
    <row r="90" spans="1:16" x14ac:dyDescent="0.3">
      <c r="A90" s="8" t="s">
        <v>452</v>
      </c>
      <c r="B90" s="8" t="s">
        <v>358</v>
      </c>
      <c r="C90" s="8" t="s">
        <v>165</v>
      </c>
      <c r="D90" s="8" t="s">
        <v>322</v>
      </c>
      <c r="E90" s="8">
        <v>30</v>
      </c>
      <c r="F90" s="8">
        <v>1</v>
      </c>
      <c r="G90" s="8">
        <v>18</v>
      </c>
      <c r="H90" s="8">
        <v>2</v>
      </c>
      <c r="I90" s="8">
        <v>20</v>
      </c>
      <c r="J90" s="8">
        <v>18</v>
      </c>
      <c r="K90" s="8"/>
      <c r="L90" s="8" t="s">
        <v>323</v>
      </c>
      <c r="M90" s="8"/>
      <c r="N90" s="8" t="s">
        <v>324</v>
      </c>
      <c r="O90" s="8" t="s">
        <v>317</v>
      </c>
      <c r="P90" s="8"/>
    </row>
    <row r="91" spans="1:16" x14ac:dyDescent="0.3">
      <c r="A91" s="8" t="s">
        <v>453</v>
      </c>
      <c r="B91" s="8" t="s">
        <v>454</v>
      </c>
      <c r="C91" s="8" t="s">
        <v>32</v>
      </c>
      <c r="D91" s="8" t="s">
        <v>314</v>
      </c>
      <c r="E91" s="8">
        <v>10</v>
      </c>
      <c r="F91" s="8">
        <v>2</v>
      </c>
      <c r="G91" s="8">
        <v>17</v>
      </c>
      <c r="H91" s="8">
        <v>1</v>
      </c>
      <c r="I91" s="8">
        <v>18</v>
      </c>
      <c r="J91" s="8">
        <v>20</v>
      </c>
      <c r="K91" s="8"/>
      <c r="L91" s="8" t="s">
        <v>328</v>
      </c>
      <c r="M91" s="8"/>
      <c r="N91" s="8" t="s">
        <v>316</v>
      </c>
      <c r="O91" s="8" t="s">
        <v>325</v>
      </c>
      <c r="P91" s="8"/>
    </row>
    <row r="92" spans="1:16" x14ac:dyDescent="0.3">
      <c r="A92" s="11" t="s">
        <v>455</v>
      </c>
      <c r="B92" s="11" t="s">
        <v>392</v>
      </c>
      <c r="C92" s="11" t="s">
        <v>15</v>
      </c>
      <c r="D92" s="11" t="s">
        <v>339</v>
      </c>
      <c r="E92" s="11">
        <v>12</v>
      </c>
      <c r="F92" s="11">
        <v>1</v>
      </c>
      <c r="G92" s="11">
        <v>9</v>
      </c>
      <c r="H92" s="11">
        <v>3</v>
      </c>
      <c r="I92" s="11">
        <v>12</v>
      </c>
      <c r="J92" s="11">
        <v>20</v>
      </c>
      <c r="K92" s="11"/>
      <c r="L92" s="11" t="s">
        <v>334</v>
      </c>
      <c r="M92" s="11"/>
      <c r="N92" s="11" t="s">
        <v>316</v>
      </c>
      <c r="O92" s="11" t="s">
        <v>329</v>
      </c>
      <c r="P92" s="11"/>
    </row>
    <row r="93" spans="1:16" x14ac:dyDescent="0.3">
      <c r="A93" s="8" t="s">
        <v>456</v>
      </c>
      <c r="B93" s="8" t="s">
        <v>457</v>
      </c>
      <c r="C93" s="8" t="s">
        <v>38</v>
      </c>
      <c r="D93" s="8" t="s">
        <v>314</v>
      </c>
      <c r="E93" s="8">
        <v>8</v>
      </c>
      <c r="F93" s="8">
        <v>3</v>
      </c>
      <c r="G93" s="8">
        <v>16</v>
      </c>
      <c r="H93" s="8">
        <v>3</v>
      </c>
      <c r="I93" s="8">
        <v>19</v>
      </c>
      <c r="J93" s="8">
        <v>20</v>
      </c>
      <c r="K93" s="8"/>
      <c r="L93" s="8" t="s">
        <v>323</v>
      </c>
      <c r="M93" s="8"/>
      <c r="N93" s="8" t="s">
        <v>316</v>
      </c>
      <c r="O93" s="8" t="s">
        <v>317</v>
      </c>
      <c r="P93" s="8"/>
    </row>
    <row r="94" spans="1:16" x14ac:dyDescent="0.3">
      <c r="A94" s="8" t="s">
        <v>458</v>
      </c>
      <c r="B94" s="8" t="s">
        <v>426</v>
      </c>
      <c r="C94" s="8" t="s">
        <v>15</v>
      </c>
      <c r="D94" s="8" t="s">
        <v>320</v>
      </c>
      <c r="E94" s="8">
        <v>5</v>
      </c>
      <c r="F94" s="8">
        <v>4</v>
      </c>
      <c r="G94" s="8">
        <v>18</v>
      </c>
      <c r="H94" s="8">
        <v>1</v>
      </c>
      <c r="I94" s="8">
        <v>19</v>
      </c>
      <c r="J94" s="8">
        <v>20</v>
      </c>
      <c r="K94" s="8"/>
      <c r="L94" s="8" t="s">
        <v>337</v>
      </c>
      <c r="M94" s="8"/>
      <c r="N94" s="8" t="s">
        <v>316</v>
      </c>
      <c r="O94" s="8" t="s">
        <v>325</v>
      </c>
      <c r="P94" s="8"/>
    </row>
    <row r="95" spans="1:16" x14ac:dyDescent="0.3">
      <c r="A95" s="3" t="s">
        <v>459</v>
      </c>
      <c r="B95" s="3" t="s">
        <v>460</v>
      </c>
      <c r="C95" s="3" t="s">
        <v>165</v>
      </c>
      <c r="D95" s="3" t="s">
        <v>322</v>
      </c>
      <c r="E95" s="3">
        <v>4</v>
      </c>
      <c r="F95" s="3">
        <v>2</v>
      </c>
      <c r="G95" s="3">
        <v>9</v>
      </c>
      <c r="H95" s="3">
        <v>1</v>
      </c>
      <c r="I95" s="3">
        <v>10</v>
      </c>
      <c r="J95" s="3">
        <v>18</v>
      </c>
      <c r="K95" s="3"/>
      <c r="L95" s="3" t="s">
        <v>337</v>
      </c>
      <c r="M95" s="3"/>
      <c r="N95" s="3" t="s">
        <v>316</v>
      </c>
      <c r="O95" s="3" t="s">
        <v>317</v>
      </c>
      <c r="P95" s="3"/>
    </row>
    <row r="96" spans="1:16" x14ac:dyDescent="0.3">
      <c r="A96" s="11" t="s">
        <v>461</v>
      </c>
      <c r="B96" s="11" t="s">
        <v>371</v>
      </c>
      <c r="C96" s="11" t="s">
        <v>15</v>
      </c>
      <c r="D96" s="11" t="s">
        <v>339</v>
      </c>
      <c r="E96" s="11">
        <v>26</v>
      </c>
      <c r="F96" s="11">
        <v>3</v>
      </c>
      <c r="G96" s="11">
        <v>14</v>
      </c>
      <c r="H96" s="11">
        <v>0</v>
      </c>
      <c r="I96" s="11">
        <v>14</v>
      </c>
      <c r="J96" s="11">
        <v>20</v>
      </c>
      <c r="K96" s="11"/>
      <c r="L96" s="11" t="s">
        <v>323</v>
      </c>
      <c r="M96" s="11"/>
      <c r="N96" s="11" t="s">
        <v>316</v>
      </c>
      <c r="O96" s="11" t="s">
        <v>317</v>
      </c>
      <c r="P96" s="11"/>
    </row>
    <row r="97" spans="1:16" x14ac:dyDescent="0.3">
      <c r="A97" s="3" t="s">
        <v>462</v>
      </c>
      <c r="B97" s="3" t="s">
        <v>463</v>
      </c>
      <c r="C97" s="3" t="s">
        <v>32</v>
      </c>
      <c r="D97" s="3" t="s">
        <v>314</v>
      </c>
      <c r="E97" s="3">
        <v>5</v>
      </c>
      <c r="F97" s="3">
        <v>3</v>
      </c>
      <c r="G97" s="3">
        <v>12</v>
      </c>
      <c r="H97" s="3">
        <v>2</v>
      </c>
      <c r="I97" s="3">
        <v>14</v>
      </c>
      <c r="J97" s="3">
        <v>20</v>
      </c>
      <c r="K97" s="3"/>
      <c r="L97" s="3" t="s">
        <v>323</v>
      </c>
      <c r="M97" s="3"/>
      <c r="N97" s="3" t="s">
        <v>324</v>
      </c>
      <c r="O97" s="3" t="s">
        <v>317</v>
      </c>
      <c r="P97" s="3"/>
    </row>
    <row r="98" spans="1:16" x14ac:dyDescent="0.3">
      <c r="A98" s="8" t="s">
        <v>464</v>
      </c>
      <c r="B98" s="8" t="s">
        <v>465</v>
      </c>
      <c r="C98" s="8" t="s">
        <v>165</v>
      </c>
      <c r="D98" s="8" t="s">
        <v>320</v>
      </c>
      <c r="E98" s="8">
        <v>9</v>
      </c>
      <c r="F98" s="8">
        <v>2</v>
      </c>
      <c r="G98" s="8">
        <v>18</v>
      </c>
      <c r="H98" s="8">
        <v>3</v>
      </c>
      <c r="I98" s="8">
        <v>21</v>
      </c>
      <c r="J98" s="8">
        <v>20</v>
      </c>
      <c r="K98" s="8"/>
      <c r="L98" s="8" t="s">
        <v>328</v>
      </c>
      <c r="M98" s="8"/>
      <c r="N98" s="8" t="s">
        <v>324</v>
      </c>
      <c r="O98" s="8" t="s">
        <v>325</v>
      </c>
      <c r="P98" s="8"/>
    </row>
    <row r="99" spans="1:16" x14ac:dyDescent="0.3">
      <c r="A99" s="8" t="s">
        <v>466</v>
      </c>
      <c r="B99" s="8" t="s">
        <v>467</v>
      </c>
      <c r="C99" s="8" t="s">
        <v>138</v>
      </c>
      <c r="D99" s="8" t="s">
        <v>322</v>
      </c>
      <c r="E99" s="8">
        <v>13</v>
      </c>
      <c r="F99" s="8">
        <v>3</v>
      </c>
      <c r="G99" s="8">
        <v>15</v>
      </c>
      <c r="H99" s="8">
        <v>2</v>
      </c>
      <c r="I99" s="8">
        <v>17</v>
      </c>
      <c r="J99" s="8">
        <v>18</v>
      </c>
      <c r="K99" s="8"/>
      <c r="L99" s="8" t="s">
        <v>323</v>
      </c>
      <c r="M99" s="8"/>
      <c r="N99" s="8" t="s">
        <v>324</v>
      </c>
      <c r="O99" s="8" t="s">
        <v>325</v>
      </c>
      <c r="P99" s="8"/>
    </row>
    <row r="100" spans="1:16" x14ac:dyDescent="0.3">
      <c r="A100" s="8" t="s">
        <v>468</v>
      </c>
      <c r="B100" s="8" t="s">
        <v>469</v>
      </c>
      <c r="C100" s="8" t="s">
        <v>32</v>
      </c>
      <c r="D100" s="8" t="s">
        <v>314</v>
      </c>
      <c r="E100" s="8">
        <v>10</v>
      </c>
      <c r="F100" s="8">
        <v>4</v>
      </c>
      <c r="G100" s="8">
        <v>17</v>
      </c>
      <c r="H100" s="8">
        <v>6</v>
      </c>
      <c r="I100" s="8">
        <v>23</v>
      </c>
      <c r="J100" s="8">
        <v>20</v>
      </c>
      <c r="K100" s="8"/>
      <c r="L100" s="8" t="s">
        <v>334</v>
      </c>
      <c r="M100" s="8"/>
      <c r="N100" s="8" t="s">
        <v>316</v>
      </c>
      <c r="O100" s="8" t="s">
        <v>325</v>
      </c>
      <c r="P100" s="8"/>
    </row>
    <row r="101" spans="1:16" x14ac:dyDescent="0.3">
      <c r="A101" s="8" t="s">
        <v>470</v>
      </c>
      <c r="B101" s="8" t="s">
        <v>471</v>
      </c>
      <c r="C101" s="8" t="s">
        <v>24</v>
      </c>
      <c r="D101" s="8" t="s">
        <v>339</v>
      </c>
      <c r="E101" s="8">
        <v>6</v>
      </c>
      <c r="F101" s="8">
        <v>1</v>
      </c>
      <c r="G101" s="8">
        <v>15</v>
      </c>
      <c r="H101" s="8">
        <v>5</v>
      </c>
      <c r="I101" s="8">
        <v>20</v>
      </c>
      <c r="J101" s="8">
        <v>20</v>
      </c>
      <c r="K101" s="8"/>
      <c r="L101" s="8" t="s">
        <v>334</v>
      </c>
      <c r="M101" s="8"/>
      <c r="N101" s="8" t="s">
        <v>316</v>
      </c>
      <c r="O101" s="8" t="s">
        <v>329</v>
      </c>
      <c r="P101" s="8"/>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D50A8-842A-4EA0-9E26-39FD4014DB21}">
  <sheetPr codeName="Sheet3"/>
  <dimension ref="A1:O101"/>
  <sheetViews>
    <sheetView workbookViewId="0">
      <selection activeCell="L2" sqref="L2"/>
    </sheetView>
  </sheetViews>
  <sheetFormatPr defaultRowHeight="14.4" x14ac:dyDescent="0.3"/>
  <cols>
    <col min="1" max="1" width="7.33203125" bestFit="1" customWidth="1"/>
    <col min="2" max="2" width="10.44140625" bestFit="1" customWidth="1"/>
    <col min="3" max="3" width="10.77734375" bestFit="1" customWidth="1"/>
    <col min="4" max="4" width="12.44140625" bestFit="1" customWidth="1"/>
    <col min="5" max="5" width="14.109375" bestFit="1" customWidth="1"/>
    <col min="6" max="6" width="21.77734375" bestFit="1" customWidth="1"/>
    <col min="7" max="7" width="10.6640625" bestFit="1" customWidth="1"/>
    <col min="8" max="8" width="10.44140625" bestFit="1" customWidth="1"/>
    <col min="9" max="9" width="8.33203125" bestFit="1" customWidth="1"/>
    <col min="10" max="10" width="14.33203125" bestFit="1" customWidth="1"/>
    <col min="11" max="11" width="6.77734375" bestFit="1" customWidth="1"/>
    <col min="12" max="12" width="13.21875" bestFit="1" customWidth="1"/>
    <col min="14" max="14" width="7" bestFit="1" customWidth="1"/>
  </cols>
  <sheetData>
    <row r="1" spans="1:15" x14ac:dyDescent="0.3">
      <c r="A1" s="1" t="s">
        <v>0</v>
      </c>
      <c r="B1" s="1" t="s">
        <v>1</v>
      </c>
      <c r="C1" s="1" t="s">
        <v>2</v>
      </c>
      <c r="D1" s="1" t="s">
        <v>3</v>
      </c>
      <c r="E1" s="1" t="s">
        <v>4</v>
      </c>
      <c r="F1" s="1" t="s">
        <v>5</v>
      </c>
      <c r="G1" s="1" t="s">
        <v>6</v>
      </c>
      <c r="H1" s="1" t="s">
        <v>7</v>
      </c>
      <c r="I1" s="1" t="s">
        <v>8</v>
      </c>
      <c r="J1" s="1" t="s">
        <v>9</v>
      </c>
      <c r="K1" s="1" t="s">
        <v>10</v>
      </c>
      <c r="L1" s="1" t="s">
        <v>11</v>
      </c>
    </row>
    <row r="2" spans="1:15" x14ac:dyDescent="0.3">
      <c r="A2" s="2" t="str">
        <f>VLOOKUP(Timetable_Schedule!A2,Timetable_Schedule!A1:L107,1,FALSE)</f>
        <v>TS0001</v>
      </c>
      <c r="B2" t="str">
        <f>IF(COUNTBLANK(Timetable_Schedule!B2)=0,Timetable_Schedule!B2,"Unknown")</f>
        <v>Tuesday</v>
      </c>
      <c r="C2" t="str">
        <f>VLOOKUP(A2,Timetable_Schedule!A1:L107,3,FALSE)</f>
        <v>11:00-12:00</v>
      </c>
      <c r="D2" t="str">
        <f>IF(COUNTBLANK(Timetable_Schedule!D2)=0,Timetable_Schedule!D2,"Unknown")</f>
        <v>ECE</v>
      </c>
      <c r="E2" t="str">
        <f>VLOOKUP(A2,Timetable_Schedule!A1:L107,5,FALSE)</f>
        <v>EC105</v>
      </c>
      <c r="F2" t="str">
        <f>VLOOKUP(A2,Timetable_Schedule!A1:L107,6,FALSE)</f>
        <v>Algorithms</v>
      </c>
      <c r="G2" t="str">
        <f>VLOOKUP(A2,Timetable_Schedule!A1:L107,7,FALSE)</f>
        <v>FAC1048</v>
      </c>
      <c r="H2">
        <f>VLOOKUP(A2,Timetable_Schedule!A1:L107,8,FALSE)</f>
        <v>1</v>
      </c>
      <c r="I2" t="str">
        <f>VLOOKUP(A2,Timetable_Schedule!A1:L107,9,FALSE)</f>
        <v>A</v>
      </c>
      <c r="J2">
        <f>VLOOKUP(A2,Timetable_Schedule!A1:L107,10,FALSE)</f>
        <v>1</v>
      </c>
      <c r="K2" t="str">
        <f>VLOOKUP(A2,Timetable_Schedule!A1:L107,11,FALSE)</f>
        <v>No</v>
      </c>
      <c r="O2" s="15" t="s">
        <v>8</v>
      </c>
    </row>
    <row r="3" spans="1:15" x14ac:dyDescent="0.3">
      <c r="A3" s="2" t="str">
        <f>VLOOKUP(Timetable_Schedule!A3,Timetable_Schedule!A2:L108,1,FALSE)</f>
        <v>TS0002</v>
      </c>
      <c r="B3" t="str">
        <f>IF(COUNTBLANK(Timetable_Schedule!B3)=0,Timetable_Schedule!B3,"Unknown")</f>
        <v>Friday</v>
      </c>
      <c r="C3" t="str">
        <f>VLOOKUP(A3,Timetable_Schedule!A2:L108,3,FALSE)</f>
        <v>11:00-12:00</v>
      </c>
      <c r="D3" t="str">
        <f>IF(COUNTBLANK(Timetable_Schedule!D3)=0,Timetable_Schedule!D3,"Unknown")</f>
        <v>CE</v>
      </c>
      <c r="E3" t="str">
        <f>VLOOKUP(A3,Timetable_Schedule!A2:L108,5,FALSE)</f>
        <v>CE123</v>
      </c>
      <c r="F3" t="str">
        <f>VLOOKUP(A3,Timetable_Schedule!A2:L108,6,FALSE)</f>
        <v>Distributed Systems</v>
      </c>
      <c r="G3" t="str">
        <f>VLOOKUP(A3,Timetable_Schedule!A2:L108,7,FALSE)</f>
        <v>FAC1042</v>
      </c>
      <c r="H3">
        <f>VLOOKUP(A3,Timetable_Schedule!A2:L108,8,FALSE)</f>
        <v>4</v>
      </c>
      <c r="I3" t="str">
        <f>VLOOKUP(A3,Timetable_Schedule!A2:L102,9,FALSE)</f>
        <v>B</v>
      </c>
      <c r="J3">
        <f>VLOOKUP(A3,Timetable_Schedule!A2:L108,10,FALSE)</f>
        <v>2</v>
      </c>
      <c r="K3" t="str">
        <f>VLOOKUP(A3,Timetable_Schedule!A2:L108,11,FALSE)</f>
        <v>Yes</v>
      </c>
      <c r="O3" t="s">
        <v>77</v>
      </c>
    </row>
    <row r="4" spans="1:15" x14ac:dyDescent="0.3">
      <c r="A4" s="2" t="str">
        <f>VLOOKUP(Timetable_Schedule!A4,Timetable_Schedule!A3:L109,1,FALSE)</f>
        <v>TS0003</v>
      </c>
      <c r="B4" t="str">
        <f>IF(COUNTBLANK(Timetable_Schedule!B4)=0,Timetable_Schedule!B4,"Unknown")</f>
        <v>Wednesday</v>
      </c>
      <c r="C4" t="str">
        <f>VLOOKUP(A4,Timetable_Schedule!A3:L109,3,FALSE)</f>
        <v>10:00-11:00</v>
      </c>
      <c r="D4" t="str">
        <f>IF(COUNTBLANK(Timetable_Schedule!D4)=0,Timetable_Schedule!D4,"Unknown")</f>
        <v>ME</v>
      </c>
      <c r="E4" t="str">
        <f>VLOOKUP(A4,Timetable_Schedule!A3:L109,5,FALSE)</f>
        <v>ME107</v>
      </c>
      <c r="F4" t="str">
        <f>VLOOKUP(A4,Timetable_Schedule!A3:L109,6,FALSE)</f>
        <v>C++</v>
      </c>
      <c r="G4" t="str">
        <f>VLOOKUP(A4,Timetable_Schedule!A3:L109,7,FALSE)</f>
        <v>FAC1049</v>
      </c>
      <c r="H4">
        <f>VLOOKUP(A4,Timetable_Schedule!A3:L109,8,FALSE)</f>
        <v>7</v>
      </c>
      <c r="I4" t="str">
        <f>VLOOKUP(A4,Timetable_Schedule!A3:L103,9,FALSE)</f>
        <v>A</v>
      </c>
      <c r="J4">
        <f>VLOOKUP(A4,Timetable_Schedule!A3:L109,10,FALSE)</f>
        <v>1</v>
      </c>
      <c r="K4" t="str">
        <f>VLOOKUP(A4,Timetable_Schedule!A3:L109,11,FALSE)</f>
        <v>No</v>
      </c>
    </row>
    <row r="5" spans="1:15" x14ac:dyDescent="0.3">
      <c r="A5" s="2" t="str">
        <f>VLOOKUP(Timetable_Schedule!A5,Timetable_Schedule!A4:L110,1,FALSE)</f>
        <v>TS0004</v>
      </c>
      <c r="B5" t="str">
        <f>IF(COUNTBLANK(Timetable_Schedule!B5)=0,Timetable_Schedule!B5,"Unknown")</f>
        <v>Friday</v>
      </c>
      <c r="C5" t="str">
        <f>VLOOKUP(A5,Timetable_Schedule!A4:L110,3,FALSE)</f>
        <v>9:00-10:00</v>
      </c>
      <c r="D5" t="str">
        <f>IF(COUNTBLANK(Timetable_Schedule!D5)=0,Timetable_Schedule!D5,"Unknown")</f>
        <v>EEE</v>
      </c>
      <c r="E5" t="str">
        <f>VLOOKUP(A5,Timetable_Schedule!A4:L110,5,FALSE)</f>
        <v>EE130</v>
      </c>
      <c r="F5" t="str">
        <f>VLOOKUP(A5,Timetable_Schedule!A4:L110,6,FALSE)</f>
        <v>DBMS</v>
      </c>
      <c r="G5" t="str">
        <f>VLOOKUP(A5,Timetable_Schedule!A4:L110,7,FALSE)</f>
        <v>FAC1025</v>
      </c>
      <c r="H5">
        <f>VLOOKUP(A5,Timetable_Schedule!A4:L110,8,FALSE)</f>
        <v>4</v>
      </c>
      <c r="I5" t="str">
        <f>VLOOKUP(A5,Timetable_Schedule!A4:L104,9,FALSE)</f>
        <v>C</v>
      </c>
      <c r="J5">
        <f>VLOOKUP(A5,Timetable_Schedule!A4:L110,10,FALSE)</f>
        <v>1</v>
      </c>
      <c r="K5" t="str">
        <f>VLOOKUP(A5,Timetable_Schedule!A4:L110,11,FALSE)</f>
        <v>No</v>
      </c>
    </row>
    <row r="6" spans="1:15" x14ac:dyDescent="0.3">
      <c r="A6" s="2" t="str">
        <f>VLOOKUP(Timetable_Schedule!A6,Timetable_Schedule!A5:L111,1,FALSE)</f>
        <v>TS0005</v>
      </c>
      <c r="B6" t="str">
        <f>IF(COUNTBLANK(Timetable_Schedule!B6)=0,Timetable_Schedule!B6,"Unknown")</f>
        <v>Monday</v>
      </c>
      <c r="C6" t="str">
        <f>VLOOKUP(A6,Timetable_Schedule!A5:L111,3,FALSE)</f>
        <v>2:00-3:00</v>
      </c>
      <c r="D6" t="str">
        <f>IF(COUNTBLANK(Timetable_Schedule!D6)=0,Timetable_Schedule!D6,"Unknown")</f>
        <v>EEE</v>
      </c>
      <c r="E6" t="str">
        <f>VLOOKUP(A6,Timetable_Schedule!A5:L111,5,FALSE)</f>
        <v>EE109</v>
      </c>
      <c r="F6" t="str">
        <f>VLOOKUP(A6,Timetable_Schedule!A5:L111,6,FALSE)</f>
        <v>Machine Learning</v>
      </c>
      <c r="G6" t="str">
        <f>VLOOKUP(A6,Timetable_Schedule!A5:L111,7,FALSE)</f>
        <v>FAC1030</v>
      </c>
      <c r="H6">
        <f>VLOOKUP(A6,Timetable_Schedule!A5:L111,8,FALSE)</f>
        <v>6</v>
      </c>
      <c r="I6" t="str">
        <f>VLOOKUP(A6,Timetable_Schedule!A5:L105,9,FALSE)</f>
        <v>A</v>
      </c>
      <c r="J6">
        <f>VLOOKUP(A6,Timetable_Schedule!A5:L111,10,FALSE)</f>
        <v>2</v>
      </c>
      <c r="K6" t="str">
        <f>VLOOKUP(A6,Timetable_Schedule!A5:L111,11,FALSE)</f>
        <v>Yes</v>
      </c>
    </row>
    <row r="7" spans="1:15" x14ac:dyDescent="0.3">
      <c r="A7" s="2" t="str">
        <f>VLOOKUP(Timetable_Schedule!A7,Timetable_Schedule!A6:L112,1,FALSE)</f>
        <v>TS0006</v>
      </c>
      <c r="B7" t="str">
        <f>IF(COUNTBLANK(Timetable_Schedule!B7)=0,Timetable_Schedule!B7,"Unknown")</f>
        <v>Friday</v>
      </c>
      <c r="C7" t="str">
        <f>VLOOKUP(A7,Timetable_Schedule!A6:L112,3,FALSE)</f>
        <v>11:00-12:00</v>
      </c>
      <c r="D7" t="str">
        <f>IF(COUNTBLANK(Timetable_Schedule!D7)=0,Timetable_Schedule!D7,"Unknown")</f>
        <v>ECE</v>
      </c>
      <c r="E7" t="str">
        <f>VLOOKUP(A7,Timetable_Schedule!A6:L112,5,FALSE)</f>
        <v>EC106</v>
      </c>
      <c r="F7" t="str">
        <f>VLOOKUP(A7,Timetable_Schedule!A6:L112,6,FALSE)</f>
        <v>Digital Signal Processing</v>
      </c>
      <c r="G7" t="str">
        <f>VLOOKUP(A7,Timetable_Schedule!A6:L112,7,FALSE)</f>
        <v>FAC1030</v>
      </c>
      <c r="H7">
        <f>VLOOKUP(A7,Timetable_Schedule!A6:L112,8,FALSE)</f>
        <v>4</v>
      </c>
      <c r="I7" t="str">
        <f>VLOOKUP(A7,Timetable_Schedule!A6:L106,9,FALSE)</f>
        <v>D</v>
      </c>
      <c r="J7">
        <f>VLOOKUP(A7,Timetable_Schedule!A6:L112,10,FALSE)</f>
        <v>2</v>
      </c>
      <c r="K7" t="str">
        <f>VLOOKUP(A7,Timetable_Schedule!A6:L112,11,FALSE)</f>
        <v>Yes</v>
      </c>
    </row>
    <row r="8" spans="1:15" x14ac:dyDescent="0.3">
      <c r="A8" s="2" t="str">
        <f>VLOOKUP(Timetable_Schedule!A8,Timetable_Schedule!A7:L113,1,FALSE)</f>
        <v>TS0007</v>
      </c>
      <c r="B8" t="str">
        <f>IF(COUNTBLANK(Timetable_Schedule!B8)=0,Timetable_Schedule!B8,"Unknown")</f>
        <v>Wednesday</v>
      </c>
      <c r="C8" t="str">
        <f>VLOOKUP(A8,Timetable_Schedule!A7:L113,3,FALSE)</f>
        <v>9:00-10:00</v>
      </c>
      <c r="D8" t="str">
        <f>IF(COUNTBLANK(Timetable_Schedule!D8)=0,Timetable_Schedule!D8,"Unknown")</f>
        <v>CSE</v>
      </c>
      <c r="E8" t="str">
        <f>VLOOKUP(A8,Timetable_Schedule!A7:L113,5,FALSE)</f>
        <v>CS107</v>
      </c>
      <c r="F8" t="str">
        <f>VLOOKUP(A8,Timetable_Schedule!A7:L113,6,FALSE)</f>
        <v>Linear Algebra</v>
      </c>
      <c r="G8" t="str">
        <f>VLOOKUP(A8,Timetable_Schedule!A7:L113,7,FALSE)</f>
        <v>FAC1037</v>
      </c>
      <c r="H8">
        <f>VLOOKUP(A8,Timetable_Schedule!A7:L113,8,FALSE)</f>
        <v>7</v>
      </c>
      <c r="I8" t="str">
        <f>VLOOKUP(A8,Timetable_Schedule!A7:L107,9,FALSE)</f>
        <v>D</v>
      </c>
      <c r="J8">
        <f>VLOOKUP(A8,Timetable_Schedule!A7:L113,10,FALSE)</f>
        <v>1</v>
      </c>
      <c r="K8" t="str">
        <f>VLOOKUP(A8,Timetable_Schedule!A7:L113,11,FALSE)</f>
        <v>No</v>
      </c>
    </row>
    <row r="9" spans="1:15" x14ac:dyDescent="0.3">
      <c r="A9" s="2" t="str">
        <f>VLOOKUP(Timetable_Schedule!A9,Timetable_Schedule!A8:L114,1,FALSE)</f>
        <v>TS0008</v>
      </c>
      <c r="B9" t="str">
        <f>IF(COUNTBLANK(Timetable_Schedule!B9)=0,Timetable_Schedule!B9,"Unknown")</f>
        <v>Saturday</v>
      </c>
      <c r="C9" t="str">
        <f>VLOOKUP(A9,Timetable_Schedule!A8:L114,3,FALSE)</f>
        <v>2:00-3:00</v>
      </c>
      <c r="D9" t="str">
        <f>IF(COUNTBLANK(Timetable_Schedule!D9)=0,Timetable_Schedule!D9,"Unknown")</f>
        <v>ME</v>
      </c>
      <c r="E9" t="str">
        <f>VLOOKUP(A9,Timetable_Schedule!A8:L114,5,FALSE)</f>
        <v>ME129</v>
      </c>
      <c r="F9" t="str">
        <f>VLOOKUP(A9,Timetable_Schedule!A8:L114,6,FALSE)</f>
        <v>Thermodynamics</v>
      </c>
      <c r="G9" t="str">
        <f>VLOOKUP(A9,Timetable_Schedule!A8:L114,7,FALSE)</f>
        <v>FAC1038</v>
      </c>
      <c r="H9">
        <f>VLOOKUP(A9,Timetable_Schedule!A8:L114,8,FALSE)</f>
        <v>3</v>
      </c>
      <c r="I9" t="str">
        <f>VLOOKUP(A9,Timetable_Schedule!A8:L108,9,FALSE)</f>
        <v>A</v>
      </c>
      <c r="J9">
        <f>VLOOKUP(A9,Timetable_Schedule!A8:L114,10,FALSE)</f>
        <v>1</v>
      </c>
      <c r="K9" t="str">
        <f>VLOOKUP(A9,Timetable_Schedule!A8:L114,11,FALSE)</f>
        <v>No</v>
      </c>
    </row>
    <row r="10" spans="1:15" x14ac:dyDescent="0.3">
      <c r="A10" s="2" t="str">
        <f>VLOOKUP(Timetable_Schedule!A10,Timetable_Schedule!A9:L115,1,FALSE)</f>
        <v>TS0009</v>
      </c>
      <c r="B10" t="str">
        <f>IF(COUNTBLANK(Timetable_Schedule!B10)=0,Timetable_Schedule!B10,"Unknown")</f>
        <v>Saturday</v>
      </c>
      <c r="C10" t="str">
        <f>VLOOKUP(A10,Timetable_Schedule!A9:L115,3,FALSE)</f>
        <v>2:00-3:00</v>
      </c>
      <c r="D10" t="str">
        <f>IF(COUNTBLANK(Timetable_Schedule!D10)=0,Timetable_Schedule!D10,"Unknown")</f>
        <v>ECE</v>
      </c>
      <c r="E10" t="str">
        <f>VLOOKUP(A10,Timetable_Schedule!A9:L115,5,FALSE)</f>
        <v>EC120</v>
      </c>
      <c r="F10" t="str">
        <f>VLOOKUP(A10,Timetable_Schedule!A9:L115,6,FALSE)</f>
        <v>Cloud Computing</v>
      </c>
      <c r="G10" t="str">
        <f>VLOOKUP(A10,Timetable_Schedule!A9:L115,7,FALSE)</f>
        <v>FAC1005</v>
      </c>
      <c r="H10">
        <f>VLOOKUP(A10,Timetable_Schedule!A9:L115,8,FALSE)</f>
        <v>8</v>
      </c>
      <c r="I10" t="str">
        <f>VLOOKUP(A10,Timetable_Schedule!A9:L109,9,FALSE)</f>
        <v>B</v>
      </c>
      <c r="J10">
        <f>VLOOKUP(A10,Timetable_Schedule!A9:L115,10,FALSE)</f>
        <v>2</v>
      </c>
      <c r="K10" t="str">
        <f>VLOOKUP(A10,Timetable_Schedule!A9:L115,11,FALSE)</f>
        <v>Yes</v>
      </c>
    </row>
    <row r="11" spans="1:15" x14ac:dyDescent="0.3">
      <c r="A11" s="2" t="str">
        <f>VLOOKUP(Timetable_Schedule!A11,Timetable_Schedule!A10:L116,1,FALSE)</f>
        <v>TS0010</v>
      </c>
      <c r="B11" t="str">
        <f>IF(COUNTBLANK(Timetable_Schedule!B11)=0,Timetable_Schedule!B11,"Unknown")</f>
        <v>Wednesday</v>
      </c>
      <c r="C11" t="str">
        <f>VLOOKUP(A11,Timetable_Schedule!A10:L116,3,FALSE)</f>
        <v>2:00-3:00</v>
      </c>
      <c r="D11" t="str">
        <f>IF(COUNTBLANK(Timetable_Schedule!D11)=0,Timetable_Schedule!D11,"Unknown")</f>
        <v>EEE</v>
      </c>
      <c r="E11" t="str">
        <f>VLOOKUP(A11,Timetable_Schedule!A10:L116,5,FALSE)</f>
        <v>EE106</v>
      </c>
      <c r="F11" t="str">
        <f>VLOOKUP(A11,Timetable_Schedule!A10:L116,6,FALSE)</f>
        <v>Engineering Mathematics</v>
      </c>
      <c r="G11" t="str">
        <f>VLOOKUP(A11,Timetable_Schedule!A10:L116,7,FALSE)</f>
        <v>FAC1030</v>
      </c>
      <c r="H11">
        <f>VLOOKUP(A11,Timetable_Schedule!A10:L116,8,FALSE)</f>
        <v>3</v>
      </c>
      <c r="I11" t="str">
        <f>VLOOKUP(A11,Timetable_Schedule!A10:L110,9,FALSE)</f>
        <v>A</v>
      </c>
      <c r="J11">
        <f>VLOOKUP(A11,Timetable_Schedule!A10:L116,10,FALSE)</f>
        <v>2</v>
      </c>
      <c r="K11" t="str">
        <f>VLOOKUP(A11,Timetable_Schedule!A10:L116,11,FALSE)</f>
        <v>Yes</v>
      </c>
    </row>
    <row r="12" spans="1:15" x14ac:dyDescent="0.3">
      <c r="A12" s="2" t="str">
        <f>VLOOKUP(Timetable_Schedule!A12,Timetable_Schedule!A11:L117,1,FALSE)</f>
        <v>TS0011</v>
      </c>
      <c r="B12" t="str">
        <f>IF(COUNTBLANK(Timetable_Schedule!B12)=0,Timetable_Schedule!B12,"Unknown")</f>
        <v>Friday</v>
      </c>
      <c r="C12" t="str">
        <f>VLOOKUP(A12,Timetable_Schedule!A11:L117,3,FALSE)</f>
        <v>4:00-5:00</v>
      </c>
      <c r="D12" t="str">
        <f>IF(COUNTBLANK(Timetable_Schedule!D12)=0,Timetable_Schedule!D12,"Unknown")</f>
        <v>ME</v>
      </c>
      <c r="E12" t="str">
        <f>VLOOKUP(A12,Timetable_Schedule!A11:L117,5,FALSE)</f>
        <v>ME130</v>
      </c>
      <c r="F12" t="str">
        <f>VLOOKUP(A12,Timetable_Schedule!A11:L117,6,FALSE)</f>
        <v>Communication Skills</v>
      </c>
      <c r="G12" t="str">
        <f>VLOOKUP(A12,Timetable_Schedule!A11:L117,7,FALSE)</f>
        <v>FAC1001</v>
      </c>
      <c r="H12">
        <f>VLOOKUP(A12,Timetable_Schedule!A11:L117,8,FALSE)</f>
        <v>8</v>
      </c>
      <c r="I12" t="str">
        <f>VLOOKUP(A12,Timetable_Schedule!A11:L111,9,FALSE)</f>
        <v>B</v>
      </c>
      <c r="J12">
        <f>VLOOKUP(A12,Timetable_Schedule!A11:L117,10,FALSE)</f>
        <v>2</v>
      </c>
      <c r="K12" t="str">
        <f>VLOOKUP(A12,Timetable_Schedule!A11:L117,11,FALSE)</f>
        <v>Yes</v>
      </c>
    </row>
    <row r="13" spans="1:15" x14ac:dyDescent="0.3">
      <c r="A13" s="2" t="str">
        <f>VLOOKUP(Timetable_Schedule!A13,Timetable_Schedule!A12:L118,1,FALSE)</f>
        <v>TS0012</v>
      </c>
      <c r="B13" t="str">
        <f>IF(COUNTBLANK(Timetable_Schedule!B13)=0,Timetable_Schedule!B13,"Unknown")</f>
        <v>Tuesday</v>
      </c>
      <c r="C13" t="str">
        <f>VLOOKUP(A13,Timetable_Schedule!A12:L118,3,FALSE)</f>
        <v>9:00-10:00</v>
      </c>
      <c r="D13" t="str">
        <f>IF(COUNTBLANK(Timetable_Schedule!D13)=0,Timetable_Schedule!D13,"Unknown")</f>
        <v>EEE</v>
      </c>
      <c r="E13" t="str">
        <f>VLOOKUP(A13,Timetable_Schedule!A12:L118,5,FALSE)</f>
        <v>EE103</v>
      </c>
      <c r="F13" t="str">
        <f>VLOOKUP(A13,Timetable_Schedule!A12:L118,6,FALSE)</f>
        <v>Thermodynamics</v>
      </c>
      <c r="G13" t="str">
        <f>VLOOKUP(A13,Timetable_Schedule!A12:L118,7,FALSE)</f>
        <v>FAC1047</v>
      </c>
      <c r="H13">
        <f>VLOOKUP(A13,Timetable_Schedule!A12:L118,8,FALSE)</f>
        <v>3</v>
      </c>
      <c r="I13" t="str">
        <f>VLOOKUP(A13,Timetable_Schedule!A12:L112,9,FALSE)</f>
        <v>A</v>
      </c>
      <c r="J13">
        <f>VLOOKUP(A13,Timetable_Schedule!A12:L118,10,FALSE)</f>
        <v>2</v>
      </c>
      <c r="K13" t="str">
        <f>VLOOKUP(A13,Timetable_Schedule!A12:L118,11,FALSE)</f>
        <v>Yes</v>
      </c>
    </row>
    <row r="14" spans="1:15" x14ac:dyDescent="0.3">
      <c r="A14" s="2" t="str">
        <f>VLOOKUP(Timetable_Schedule!A14,Timetable_Schedule!A13:L119,1,FALSE)</f>
        <v>TS0013</v>
      </c>
      <c r="B14" t="str">
        <f>IF(COUNTBLANK(Timetable_Schedule!B14)=0,Timetable_Schedule!B14,"Unknown")</f>
        <v>Tuesday</v>
      </c>
      <c r="C14" t="str">
        <f>VLOOKUP(A14,Timetable_Schedule!A13:L119,3,FALSE)</f>
        <v>4:00-5:00</v>
      </c>
      <c r="D14" t="str">
        <f>IF(COUNTBLANK(Timetable_Schedule!D14)=0,Timetable_Schedule!D14,"Unknown")</f>
        <v>EEE</v>
      </c>
      <c r="E14" t="str">
        <f>VLOOKUP(A14,Timetable_Schedule!A13:L119,5,FALSE)</f>
        <v>EE125</v>
      </c>
      <c r="F14" t="str">
        <f>VLOOKUP(A14,Timetable_Schedule!A13:L119,6,FALSE)</f>
        <v>IoT</v>
      </c>
      <c r="G14" t="str">
        <f>VLOOKUP(A14,Timetable_Schedule!A13:L119,7,FALSE)</f>
        <v>FAC1047</v>
      </c>
      <c r="H14">
        <f>VLOOKUP(A14,Timetable_Schedule!A13:L119,8,FALSE)</f>
        <v>6</v>
      </c>
      <c r="I14" t="str">
        <f>VLOOKUP(A14,Timetable_Schedule!A13:L113,9,FALSE)</f>
        <v>C</v>
      </c>
      <c r="J14">
        <f>VLOOKUP(A14,Timetable_Schedule!A13:L119,10,FALSE)</f>
        <v>1</v>
      </c>
      <c r="K14" t="str">
        <f>VLOOKUP(A14,Timetable_Schedule!A13:L119,11,FALSE)</f>
        <v>No</v>
      </c>
    </row>
    <row r="15" spans="1:15" x14ac:dyDescent="0.3">
      <c r="A15" s="2" t="str">
        <f>VLOOKUP(Timetable_Schedule!A15,Timetable_Schedule!A14:L120,1,FALSE)</f>
        <v>TS0014</v>
      </c>
      <c r="B15" t="str">
        <f>IF(COUNTBLANK(Timetable_Schedule!B15)=0,Timetable_Schedule!B15,"Unknown")</f>
        <v>Wednesday</v>
      </c>
      <c r="C15" t="str">
        <f>VLOOKUP(A15,Timetable_Schedule!A14:L120,3,FALSE)</f>
        <v>8:00-9:00</v>
      </c>
      <c r="D15" t="str">
        <f>IF(COUNTBLANK(Timetable_Schedule!D15)=0,Timetable_Schedule!D15,"Unknown")</f>
        <v>Unknown</v>
      </c>
      <c r="E15" t="str">
        <f>VLOOKUP(A15,Timetable_Schedule!A14:L120,5,FALSE)</f>
        <v>CE119</v>
      </c>
      <c r="F15" t="str">
        <f>VLOOKUP(A15,Timetable_Schedule!A14:L120,6,FALSE)</f>
        <v>Embedded Systems</v>
      </c>
      <c r="G15" t="str">
        <f>VLOOKUP(A15,Timetable_Schedule!A14:L120,7,FALSE)</f>
        <v>FAC1036</v>
      </c>
      <c r="H15">
        <f>VLOOKUP(A15,Timetable_Schedule!A14:L120,8,FALSE)</f>
        <v>1</v>
      </c>
      <c r="I15" t="str">
        <f>VLOOKUP(A15,Timetable_Schedule!A14:L114,9,FALSE)</f>
        <v>A</v>
      </c>
      <c r="J15">
        <f>VLOOKUP(A15,Timetable_Schedule!A14:L120,10,FALSE)</f>
        <v>2</v>
      </c>
      <c r="K15" t="str">
        <f>VLOOKUP(A15,Timetable_Schedule!A14:L120,11,FALSE)</f>
        <v>Yes</v>
      </c>
    </row>
    <row r="16" spans="1:15" x14ac:dyDescent="0.3">
      <c r="A16" s="2" t="str">
        <f>VLOOKUP(Timetable_Schedule!A16,Timetable_Schedule!A15:L121,1,FALSE)</f>
        <v>TS0015</v>
      </c>
      <c r="B16" t="str">
        <f>IF(COUNTBLANK(Timetable_Schedule!B16)=0,Timetable_Schedule!B16,"Unknown")</f>
        <v>Monday</v>
      </c>
      <c r="C16" t="str">
        <f>VLOOKUP(A16,Timetable_Schedule!A15:L121,3,FALSE)</f>
        <v>4:00-5:00</v>
      </c>
      <c r="D16" t="str">
        <f>IF(COUNTBLANK(Timetable_Schedule!D16)=0,Timetable_Schedule!D16,"Unknown")</f>
        <v>ECE</v>
      </c>
      <c r="E16" t="str">
        <f>VLOOKUP(A16,Timetable_Schedule!A15:L121,5,FALSE)</f>
        <v>EC108</v>
      </c>
      <c r="F16" t="str">
        <f>VLOOKUP(A16,Timetable_Schedule!A15:L121,6,FALSE)</f>
        <v>DBMS</v>
      </c>
      <c r="G16" t="str">
        <f>VLOOKUP(A16,Timetable_Schedule!A15:L121,7,FALSE)</f>
        <v>FAC1047</v>
      </c>
      <c r="H16">
        <f>VLOOKUP(A16,Timetable_Schedule!A15:L121,8,FALSE)</f>
        <v>8</v>
      </c>
      <c r="I16" t="str">
        <f>VLOOKUP(A16,Timetable_Schedule!A15:L115,9,FALSE)</f>
        <v>C</v>
      </c>
      <c r="J16">
        <f>VLOOKUP(A16,Timetable_Schedule!A15:L121,10,FALSE)</f>
        <v>1</v>
      </c>
      <c r="K16" t="str">
        <f>VLOOKUP(A16,Timetable_Schedule!A15:L121,11,FALSE)</f>
        <v>No</v>
      </c>
    </row>
    <row r="17" spans="1:11" x14ac:dyDescent="0.3">
      <c r="A17" s="2" t="str">
        <f>VLOOKUP(Timetable_Schedule!A17,Timetable_Schedule!A16:L122,1,FALSE)</f>
        <v>TS0016</v>
      </c>
      <c r="B17" t="str">
        <f>IF(COUNTBLANK(Timetable_Schedule!B17)=0,Timetable_Schedule!B17,"Unknown")</f>
        <v>Saturday</v>
      </c>
      <c r="C17" t="str">
        <f>VLOOKUP(A17,Timetable_Schedule!A16:L122,3,FALSE)</f>
        <v>2:00-3:00</v>
      </c>
      <c r="D17" t="str">
        <f>IF(COUNTBLANK(Timetable_Schedule!D17)=0,Timetable_Schedule!D17,"Unknown")</f>
        <v>CE</v>
      </c>
      <c r="E17" t="str">
        <f>VLOOKUP(A17,Timetable_Schedule!A16:L122,5,FALSE)</f>
        <v>CE112</v>
      </c>
      <c r="F17" t="str">
        <f>VLOOKUP(A17,Timetable_Schedule!A16:L122,6,FALSE)</f>
        <v>AI</v>
      </c>
      <c r="G17" t="str">
        <f>VLOOKUP(A17,Timetable_Schedule!A16:L122,7,FALSE)</f>
        <v>FAC1028</v>
      </c>
      <c r="H17">
        <f>VLOOKUP(A17,Timetable_Schedule!A16:L122,8,FALSE)</f>
        <v>1</v>
      </c>
      <c r="I17" t="str">
        <f>VLOOKUP(A17,Timetable_Schedule!A16:L116,9,FALSE)</f>
        <v>A</v>
      </c>
      <c r="J17">
        <f>VLOOKUP(A17,Timetable_Schedule!A16:L122,10,FALSE)</f>
        <v>2</v>
      </c>
      <c r="K17" t="str">
        <f>VLOOKUP(A17,Timetable_Schedule!A16:L122,11,FALSE)</f>
        <v>Yes</v>
      </c>
    </row>
    <row r="18" spans="1:11" x14ac:dyDescent="0.3">
      <c r="A18" s="2" t="str">
        <f>VLOOKUP(Timetable_Schedule!A18,Timetable_Schedule!A17:L123,1,FALSE)</f>
        <v>TS0017</v>
      </c>
      <c r="B18" t="str">
        <f>IF(COUNTBLANK(Timetable_Schedule!B18)=0,Timetable_Schedule!B18,"Unknown")</f>
        <v>Tuesday</v>
      </c>
      <c r="C18" t="str">
        <f>VLOOKUP(A18,Timetable_Schedule!A17:L123,3,FALSE)</f>
        <v>11:00-12:00</v>
      </c>
      <c r="D18" t="str">
        <f>IF(COUNTBLANK(Timetable_Schedule!D18)=0,Timetable_Schedule!D18,"Unknown")</f>
        <v>IT</v>
      </c>
      <c r="E18" t="str">
        <f>VLOOKUP(A18,Timetable_Schedule!A17:L123,5,FALSE)</f>
        <v>IT118</v>
      </c>
      <c r="F18" t="str">
        <f>VLOOKUP(A18,Timetable_Schedule!A17:L123,6,FALSE)</f>
        <v>AI</v>
      </c>
      <c r="G18" t="str">
        <f>VLOOKUP(A18,Timetable_Schedule!A17:L123,7,FALSE)</f>
        <v>FAC1029</v>
      </c>
      <c r="H18">
        <f>VLOOKUP(A18,Timetable_Schedule!A17:L123,8,FALSE)</f>
        <v>3</v>
      </c>
      <c r="I18" t="str">
        <f>VLOOKUP(A18,Timetable_Schedule!A17:L117,9,FALSE)</f>
        <v>D</v>
      </c>
      <c r="J18">
        <f>VLOOKUP(A18,Timetable_Schedule!A17:L123,10,FALSE)</f>
        <v>2</v>
      </c>
      <c r="K18" t="str">
        <f>VLOOKUP(A18,Timetable_Schedule!A17:L123,11,FALSE)</f>
        <v>Yes</v>
      </c>
    </row>
    <row r="19" spans="1:11" x14ac:dyDescent="0.3">
      <c r="A19" s="2" t="str">
        <f>VLOOKUP(Timetable_Schedule!A19,Timetable_Schedule!A18:L124,1,FALSE)</f>
        <v>TS0018</v>
      </c>
      <c r="B19" t="str">
        <f>IF(COUNTBLANK(Timetable_Schedule!B19)=0,Timetable_Schedule!B19,"Unknown")</f>
        <v>Monday</v>
      </c>
      <c r="C19" t="str">
        <f>VLOOKUP(A19,Timetable_Schedule!A18:L124,3,FALSE)</f>
        <v>4:00-5:00</v>
      </c>
      <c r="D19" t="str">
        <f>IF(COUNTBLANK(Timetable_Schedule!D19)=0,Timetable_Schedule!D19,"Unknown")</f>
        <v>ECE</v>
      </c>
      <c r="E19" t="str">
        <f>VLOOKUP(A19,Timetable_Schedule!A18:L124,5,FALSE)</f>
        <v>EC127</v>
      </c>
      <c r="F19" t="str">
        <f>VLOOKUP(A19,Timetable_Schedule!A18:L124,6,FALSE)</f>
        <v>Data Mining</v>
      </c>
      <c r="G19" t="str">
        <f>VLOOKUP(A19,Timetable_Schedule!A18:L124,7,FALSE)</f>
        <v>FAC1001</v>
      </c>
      <c r="H19">
        <f>VLOOKUP(A19,Timetable_Schedule!A18:L124,8,FALSE)</f>
        <v>3</v>
      </c>
      <c r="I19" t="str">
        <f>VLOOKUP(A19,Timetable_Schedule!A18:L118,9,FALSE)</f>
        <v>A</v>
      </c>
      <c r="J19">
        <f>VLOOKUP(A19,Timetable_Schedule!A18:L124,10,FALSE)</f>
        <v>2</v>
      </c>
      <c r="K19" t="str">
        <f>VLOOKUP(A19,Timetable_Schedule!A18:L124,11,FALSE)</f>
        <v>Yes</v>
      </c>
    </row>
    <row r="20" spans="1:11" x14ac:dyDescent="0.3">
      <c r="A20" s="2" t="str">
        <f>VLOOKUP(Timetable_Schedule!A20,Timetable_Schedule!A19:L125,1,FALSE)</f>
        <v>TS0019</v>
      </c>
      <c r="B20" t="str">
        <f>IF(COUNTBLANK(Timetable_Schedule!B20)=0,Timetable_Schedule!B20,"Unknown")</f>
        <v>Tuesday</v>
      </c>
      <c r="C20" t="str">
        <f>VLOOKUP(A20,Timetable_Schedule!A19:L125,3,FALSE)</f>
        <v>2:00-3:00</v>
      </c>
      <c r="D20" t="str">
        <f>IF(COUNTBLANK(Timetable_Schedule!D20)=0,Timetable_Schedule!D20,"Unknown")</f>
        <v>CE</v>
      </c>
      <c r="E20" t="str">
        <f>VLOOKUP(A20,Timetable_Schedule!A19:L125,5,FALSE)</f>
        <v>CE101</v>
      </c>
      <c r="F20" t="str">
        <f>VLOOKUP(A20,Timetable_Schedule!A19:L125,6,FALSE)</f>
        <v>Python Programming</v>
      </c>
      <c r="G20" t="str">
        <f>VLOOKUP(A20,Timetable_Schedule!A19:L125,7,FALSE)</f>
        <v>FAC1025</v>
      </c>
      <c r="H20">
        <f>VLOOKUP(A20,Timetable_Schedule!A19:L125,8,FALSE)</f>
        <v>5</v>
      </c>
      <c r="I20" t="str">
        <f>VLOOKUP(A20,Timetable_Schedule!A19:L119,9,FALSE)</f>
        <v>A</v>
      </c>
      <c r="J20">
        <f>VLOOKUP(A20,Timetable_Schedule!A19:L125,10,FALSE)</f>
        <v>2</v>
      </c>
      <c r="K20" t="str">
        <f>VLOOKUP(A20,Timetable_Schedule!A19:L125,11,FALSE)</f>
        <v>Yes</v>
      </c>
    </row>
    <row r="21" spans="1:11" x14ac:dyDescent="0.3">
      <c r="A21" s="2" t="str">
        <f>VLOOKUP(Timetable_Schedule!A21,Timetable_Schedule!A20:L126,1,FALSE)</f>
        <v>TS0020</v>
      </c>
      <c r="B21" t="str">
        <f>IF(COUNTBLANK(Timetable_Schedule!B21)=0,Timetable_Schedule!B21,"Unknown")</f>
        <v>Monday</v>
      </c>
      <c r="C21" t="str">
        <f>VLOOKUP(A21,Timetable_Schedule!A20:L126,3,FALSE)</f>
        <v>4:00-5:00</v>
      </c>
      <c r="D21" t="str">
        <f>IF(COUNTBLANK(Timetable_Schedule!D21)=0,Timetable_Schedule!D21,"Unknown")</f>
        <v>CE</v>
      </c>
      <c r="E21" t="str">
        <f>VLOOKUP(A21,Timetable_Schedule!A20:L126,5,FALSE)</f>
        <v>CE102</v>
      </c>
      <c r="F21" t="str">
        <f>VLOOKUP(A21,Timetable_Schedule!A20:L126,6,FALSE)</f>
        <v>Manufacturing</v>
      </c>
      <c r="G21" t="str">
        <f>VLOOKUP(A21,Timetable_Schedule!A20:L126,7,FALSE)</f>
        <v>FAC1048</v>
      </c>
      <c r="H21">
        <f>VLOOKUP(A21,Timetable_Schedule!A20:L126,8,FALSE)</f>
        <v>1</v>
      </c>
      <c r="I21" t="str">
        <f>VLOOKUP(A21,Timetable_Schedule!A20:L120,9,FALSE)</f>
        <v>D</v>
      </c>
      <c r="J21">
        <f>VLOOKUP(A21,Timetable_Schedule!A20:L126,10,FALSE)</f>
        <v>2</v>
      </c>
      <c r="K21" t="str">
        <f>VLOOKUP(A21,Timetable_Schedule!A20:L126,11,FALSE)</f>
        <v>Yes</v>
      </c>
    </row>
    <row r="22" spans="1:11" x14ac:dyDescent="0.3">
      <c r="A22" s="2" t="str">
        <f>VLOOKUP(Timetable_Schedule!A22,Timetable_Schedule!A21:L127,1,FALSE)</f>
        <v>TS0021</v>
      </c>
      <c r="B22" t="str">
        <f>IF(COUNTBLANK(Timetable_Schedule!B22)=0,Timetable_Schedule!B22,"Unknown")</f>
        <v>Friday</v>
      </c>
      <c r="C22" t="str">
        <f>VLOOKUP(A22,Timetable_Schedule!A21:L127,3,FALSE)</f>
        <v>9:00-10:00</v>
      </c>
      <c r="D22" t="str">
        <f>IF(COUNTBLANK(Timetable_Schedule!D22)=0,Timetable_Schedule!D22,"Unknown")</f>
        <v>Unknown</v>
      </c>
      <c r="E22" t="str">
        <f>VLOOKUP(A22,Timetable_Schedule!A21:L127,5,FALSE)</f>
        <v>EC122</v>
      </c>
      <c r="F22" t="str">
        <f>VLOOKUP(A22,Timetable_Schedule!A21:L127,6,FALSE)</f>
        <v>Signals &amp; Systems</v>
      </c>
      <c r="G22" t="str">
        <f>VLOOKUP(A22,Timetable_Schedule!A21:L127,7,FALSE)</f>
        <v>FAC1016</v>
      </c>
      <c r="H22">
        <f>VLOOKUP(A22,Timetable_Schedule!A21:L127,8,FALSE)</f>
        <v>4</v>
      </c>
      <c r="I22" t="str">
        <f>VLOOKUP(A22,Timetable_Schedule!A21:L121,9,FALSE)</f>
        <v>D</v>
      </c>
      <c r="J22">
        <f>VLOOKUP(A22,Timetable_Schedule!A21:L127,10,FALSE)</f>
        <v>2</v>
      </c>
      <c r="K22" t="str">
        <f>VLOOKUP(A22,Timetable_Schedule!A21:L127,11,FALSE)</f>
        <v>Yes</v>
      </c>
    </row>
    <row r="23" spans="1:11" x14ac:dyDescent="0.3">
      <c r="A23" s="2" t="str">
        <f>VLOOKUP(Timetable_Schedule!A23,Timetable_Schedule!A22:L128,1,FALSE)</f>
        <v>TS0022</v>
      </c>
      <c r="B23" t="str">
        <f>IF(COUNTBLANK(Timetable_Schedule!B23)=0,Timetable_Schedule!B23,"Unknown")</f>
        <v>Saturday</v>
      </c>
      <c r="C23" t="str">
        <f>VLOOKUP(A23,Timetable_Schedule!A22:L128,3,FALSE)</f>
        <v>1:00-2:00</v>
      </c>
      <c r="D23" t="str">
        <f>IF(COUNTBLANK(Timetable_Schedule!D23)=0,Timetable_Schedule!D23,"Unknown")</f>
        <v>IT</v>
      </c>
      <c r="E23" t="str">
        <f>VLOOKUP(A23,Timetable_Schedule!A22:L128,5,FALSE)</f>
        <v>IT108</v>
      </c>
      <c r="F23" t="str">
        <f>VLOOKUP(A23,Timetable_Schedule!A22:L128,6,FALSE)</f>
        <v>Fluid Mechanics</v>
      </c>
      <c r="G23" t="str">
        <f>VLOOKUP(A23,Timetable_Schedule!A22:L128,7,FALSE)</f>
        <v>FAC1017</v>
      </c>
      <c r="H23">
        <f>VLOOKUP(A23,Timetable_Schedule!A22:L128,8,FALSE)</f>
        <v>5</v>
      </c>
      <c r="I23" t="str">
        <f>VLOOKUP(A23,Timetable_Schedule!A22:L122,9,FALSE)</f>
        <v>D</v>
      </c>
      <c r="J23">
        <f>VLOOKUP(A23,Timetable_Schedule!A22:L128,10,FALSE)</f>
        <v>2</v>
      </c>
      <c r="K23" t="str">
        <f>VLOOKUP(A23,Timetable_Schedule!A22:L128,11,FALSE)</f>
        <v>Yes</v>
      </c>
    </row>
    <row r="24" spans="1:11" x14ac:dyDescent="0.3">
      <c r="A24" s="2" t="str">
        <f>VLOOKUP(Timetable_Schedule!A24,Timetable_Schedule!A23:L129,1,FALSE)</f>
        <v>TS0023</v>
      </c>
      <c r="B24" t="str">
        <f>IF(COUNTBLANK(Timetable_Schedule!B24)=0,Timetable_Schedule!B24,"Unknown")</f>
        <v>Monday</v>
      </c>
      <c r="C24" t="str">
        <f>VLOOKUP(A24,Timetable_Schedule!A23:L129,3,FALSE)</f>
        <v>4:00-5:00</v>
      </c>
      <c r="D24" t="str">
        <f>IF(COUNTBLANK(Timetable_Schedule!D24)=0,Timetable_Schedule!D24,"Unknown")</f>
        <v>CSE</v>
      </c>
      <c r="E24" t="str">
        <f>VLOOKUP(A24,Timetable_Schedule!A23:L129,5,FALSE)</f>
        <v>CS107</v>
      </c>
      <c r="F24" t="str">
        <f>VLOOKUP(A24,Timetable_Schedule!A23:L129,6,FALSE)</f>
        <v>Cybersecurity</v>
      </c>
      <c r="G24" t="str">
        <f>VLOOKUP(A24,Timetable_Schedule!A23:L129,7,FALSE)</f>
        <v>FAC1033</v>
      </c>
      <c r="H24">
        <f>VLOOKUP(A24,Timetable_Schedule!A23:L129,8,FALSE)</f>
        <v>6</v>
      </c>
      <c r="I24" t="str">
        <f>VLOOKUP(A24,Timetable_Schedule!A23:L123,9,FALSE)</f>
        <v>A</v>
      </c>
      <c r="J24">
        <f>VLOOKUP(A24,Timetable_Schedule!A23:L129,10,FALSE)</f>
        <v>2</v>
      </c>
      <c r="K24" t="str">
        <f>VLOOKUP(A24,Timetable_Schedule!A23:L129,11,FALSE)</f>
        <v>Yes</v>
      </c>
    </row>
    <row r="25" spans="1:11" x14ac:dyDescent="0.3">
      <c r="A25" s="2" t="str">
        <f>VLOOKUP(Timetable_Schedule!A25,Timetable_Schedule!A24:L130,1,FALSE)</f>
        <v>TS0024</v>
      </c>
      <c r="B25" t="str">
        <f>IF(COUNTBLANK(Timetable_Schedule!B25)=0,Timetable_Schedule!B25,"Unknown")</f>
        <v>Friday</v>
      </c>
      <c r="C25" t="str">
        <f>VLOOKUP(A25,Timetable_Schedule!A24:L130,3,FALSE)</f>
        <v>12:00-1:00</v>
      </c>
      <c r="D25" t="str">
        <f>IF(COUNTBLANK(Timetable_Schedule!D25)=0,Timetable_Schedule!D25,"Unknown")</f>
        <v>EEE</v>
      </c>
      <c r="E25" t="str">
        <f>VLOOKUP(A25,Timetable_Schedule!A24:L130,5,FALSE)</f>
        <v>EE120</v>
      </c>
      <c r="F25" t="str">
        <f>VLOOKUP(A25,Timetable_Schedule!A24:L130,6,FALSE)</f>
        <v>IoT</v>
      </c>
      <c r="G25" t="str">
        <f>VLOOKUP(A25,Timetable_Schedule!A24:L130,7,FALSE)</f>
        <v>FAC1042</v>
      </c>
      <c r="H25">
        <f>VLOOKUP(A25,Timetable_Schedule!A24:L130,8,FALSE)</f>
        <v>2</v>
      </c>
      <c r="I25" t="str">
        <f>VLOOKUP(A25,Timetable_Schedule!A24:L124,9,FALSE)</f>
        <v>A</v>
      </c>
      <c r="J25">
        <f>VLOOKUP(A25,Timetable_Schedule!A24:L130,10,FALSE)</f>
        <v>1</v>
      </c>
      <c r="K25" t="str">
        <f>VLOOKUP(A25,Timetable_Schedule!A24:L130,11,FALSE)</f>
        <v>No</v>
      </c>
    </row>
    <row r="26" spans="1:11" x14ac:dyDescent="0.3">
      <c r="A26" s="2" t="str">
        <f>VLOOKUP(Timetable_Schedule!A26,Timetable_Schedule!A25:L131,1,FALSE)</f>
        <v>TS0025</v>
      </c>
      <c r="B26" t="str">
        <f>IF(COUNTBLANK(Timetable_Schedule!B26)=0,Timetable_Schedule!B26,"Unknown")</f>
        <v>Wednesday</v>
      </c>
      <c r="C26" t="str">
        <f>VLOOKUP(A26,Timetable_Schedule!A25:L131,3,FALSE)</f>
        <v>12:00-1:00</v>
      </c>
      <c r="D26" t="str">
        <f>IF(COUNTBLANK(Timetable_Schedule!D26)=0,Timetable_Schedule!D26,"Unknown")</f>
        <v>ECE</v>
      </c>
      <c r="E26" t="str">
        <f>VLOOKUP(A26,Timetable_Schedule!A25:L131,5,FALSE)</f>
        <v>EC120</v>
      </c>
      <c r="F26" t="str">
        <f>VLOOKUP(A26,Timetable_Schedule!A25:L131,6,FALSE)</f>
        <v>Power Systems</v>
      </c>
      <c r="G26" t="str">
        <f>VLOOKUP(A26,Timetable_Schedule!A25:L131,7,FALSE)</f>
        <v>FAC1014</v>
      </c>
      <c r="H26">
        <f>VLOOKUP(A26,Timetable_Schedule!A25:L131,8,FALSE)</f>
        <v>5</v>
      </c>
      <c r="I26" t="str">
        <f>VLOOKUP(A26,Timetable_Schedule!A25:L125,9,FALSE)</f>
        <v>A</v>
      </c>
      <c r="J26">
        <f>VLOOKUP(A26,Timetable_Schedule!A25:L131,10,FALSE)</f>
        <v>2</v>
      </c>
      <c r="K26" t="str">
        <f>VLOOKUP(A26,Timetable_Schedule!A25:L131,11,FALSE)</f>
        <v>Yes</v>
      </c>
    </row>
    <row r="27" spans="1:11" x14ac:dyDescent="0.3">
      <c r="A27" s="2" t="str">
        <f>VLOOKUP(Timetable_Schedule!A27,Timetable_Schedule!A26:L132,1,FALSE)</f>
        <v>TS0026</v>
      </c>
      <c r="B27" t="str">
        <f>IF(COUNTBLANK(Timetable_Schedule!B27)=0,Timetable_Schedule!B27,"Unknown")</f>
        <v>Monday</v>
      </c>
      <c r="C27" t="str">
        <f>VLOOKUP(A27,Timetable_Schedule!A26:L132,3,FALSE)</f>
        <v>8:00-9:00</v>
      </c>
      <c r="D27" t="str">
        <f>IF(COUNTBLANK(Timetable_Schedule!D27)=0,Timetable_Schedule!D27,"Unknown")</f>
        <v>ECE</v>
      </c>
      <c r="E27" t="str">
        <f>VLOOKUP(A27,Timetable_Schedule!A26:L132,5,FALSE)</f>
        <v>EC111</v>
      </c>
      <c r="F27" t="str">
        <f>VLOOKUP(A27,Timetable_Schedule!A26:L132,6,FALSE)</f>
        <v>C++</v>
      </c>
      <c r="G27" t="str">
        <f>VLOOKUP(A27,Timetable_Schedule!A26:L132,7,FALSE)</f>
        <v>FAC1050</v>
      </c>
      <c r="H27">
        <f>VLOOKUP(A27,Timetable_Schedule!A26:L132,8,FALSE)</f>
        <v>8</v>
      </c>
      <c r="I27" t="str">
        <f>VLOOKUP(A27,Timetable_Schedule!A26:L126,9,FALSE)</f>
        <v>A</v>
      </c>
      <c r="J27">
        <f>VLOOKUP(A27,Timetable_Schedule!A26:L132,10,FALSE)</f>
        <v>1</v>
      </c>
      <c r="K27" t="str">
        <f>VLOOKUP(A27,Timetable_Schedule!A26:L132,11,FALSE)</f>
        <v>No</v>
      </c>
    </row>
    <row r="28" spans="1:11" x14ac:dyDescent="0.3">
      <c r="A28" s="2" t="str">
        <f>VLOOKUP(Timetable_Schedule!A28,Timetable_Schedule!A27:L133,1,FALSE)</f>
        <v>TS0027</v>
      </c>
      <c r="B28" t="str">
        <f>IF(COUNTBLANK(Timetable_Schedule!B28)=0,Timetable_Schedule!B28,"Unknown")</f>
        <v>Wednesday</v>
      </c>
      <c r="C28" t="str">
        <f>VLOOKUP(A28,Timetable_Schedule!A27:L133,3,FALSE)</f>
        <v>4:00-5:00</v>
      </c>
      <c r="D28" t="str">
        <f>IF(COUNTBLANK(Timetable_Schedule!D28)=0,Timetable_Schedule!D28,"Unknown")</f>
        <v>ECE</v>
      </c>
      <c r="E28" t="str">
        <f>VLOOKUP(A28,Timetable_Schedule!A27:L133,5,FALSE)</f>
        <v>EC105</v>
      </c>
      <c r="F28" t="str">
        <f>VLOOKUP(A28,Timetable_Schedule!A27:L133,6,FALSE)</f>
        <v>Cloud Computing</v>
      </c>
      <c r="G28" t="str">
        <f>VLOOKUP(A28,Timetable_Schedule!A27:L133,7,FALSE)</f>
        <v>FAC1028</v>
      </c>
      <c r="H28">
        <f>VLOOKUP(A28,Timetable_Schedule!A27:L133,8,FALSE)</f>
        <v>5</v>
      </c>
      <c r="I28" t="str">
        <f>VLOOKUP(A28,Timetable_Schedule!A27:L127,9,FALSE)</f>
        <v>A</v>
      </c>
      <c r="J28">
        <f>VLOOKUP(A28,Timetable_Schedule!A27:L133,10,FALSE)</f>
        <v>2</v>
      </c>
      <c r="K28" t="str">
        <f>VLOOKUP(A28,Timetable_Schedule!A27:L133,11,FALSE)</f>
        <v>Yes</v>
      </c>
    </row>
    <row r="29" spans="1:11" x14ac:dyDescent="0.3">
      <c r="A29" s="2" t="str">
        <f>VLOOKUP(Timetable_Schedule!A29,Timetable_Schedule!A28:L134,1,FALSE)</f>
        <v>TS0028</v>
      </c>
      <c r="B29" t="str">
        <f>IF(COUNTBLANK(Timetable_Schedule!B29)=0,Timetable_Schedule!B29,"Unknown")</f>
        <v>Wednesday</v>
      </c>
      <c r="C29" t="str">
        <f>VLOOKUP(A29,Timetable_Schedule!A28:L134,3,FALSE)</f>
        <v>4:00-5:00</v>
      </c>
      <c r="D29" t="str">
        <f>IF(COUNTBLANK(Timetable_Schedule!D29)=0,Timetable_Schedule!D29,"Unknown")</f>
        <v>CE</v>
      </c>
      <c r="E29" t="str">
        <f>VLOOKUP(A29,Timetable_Schedule!A28:L134,5,FALSE)</f>
        <v>CE129</v>
      </c>
      <c r="F29" t="str">
        <f>VLOOKUP(A29,Timetable_Schedule!A28:L134,6,FALSE)</f>
        <v>Thermodynamics</v>
      </c>
      <c r="G29" t="str">
        <f>VLOOKUP(A29,Timetable_Schedule!A28:L134,7,FALSE)</f>
        <v>FAC1027</v>
      </c>
      <c r="H29">
        <f>VLOOKUP(A29,Timetable_Schedule!A28:L134,8,FALSE)</f>
        <v>3</v>
      </c>
      <c r="I29" t="str">
        <f>VLOOKUP(A29,Timetable_Schedule!A28:L128,9,FALSE)</f>
        <v>A</v>
      </c>
      <c r="J29">
        <f>VLOOKUP(A29,Timetable_Schedule!A28:L134,10,FALSE)</f>
        <v>2</v>
      </c>
      <c r="K29" t="str">
        <f>VLOOKUP(A29,Timetable_Schedule!A28:L134,11,FALSE)</f>
        <v>Yes</v>
      </c>
    </row>
    <row r="30" spans="1:11" x14ac:dyDescent="0.3">
      <c r="A30" s="2" t="str">
        <f>VLOOKUP(Timetable_Schedule!A30,Timetable_Schedule!A29:L135,1,FALSE)</f>
        <v>TS0029</v>
      </c>
      <c r="B30" t="str">
        <f>IF(COUNTBLANK(Timetable_Schedule!B30)=0,Timetable_Schedule!B30,"Unknown")</f>
        <v>Saturday</v>
      </c>
      <c r="C30" t="str">
        <f>VLOOKUP(A30,Timetable_Schedule!A29:L135,3,FALSE)</f>
        <v>11:00-12:00</v>
      </c>
      <c r="D30" t="str">
        <f>IF(COUNTBLANK(Timetable_Schedule!D30)=0,Timetable_Schedule!D30,"Unknown")</f>
        <v>ME</v>
      </c>
      <c r="E30" t="str">
        <f>VLOOKUP(A30,Timetable_Schedule!A29:L135,5,FALSE)</f>
        <v>ME109</v>
      </c>
      <c r="F30" t="str">
        <f>VLOOKUP(A30,Timetable_Schedule!A29:L135,6,FALSE)</f>
        <v>Engineering Mathematics</v>
      </c>
      <c r="G30" t="str">
        <f>VLOOKUP(A30,Timetable_Schedule!A29:L135,7,FALSE)</f>
        <v>FAC1011</v>
      </c>
      <c r="H30">
        <f>VLOOKUP(A30,Timetable_Schedule!A29:L135,8,FALSE)</f>
        <v>8</v>
      </c>
      <c r="I30" t="str">
        <f>VLOOKUP(A30,Timetable_Schedule!A29:L129,9,FALSE)</f>
        <v>A</v>
      </c>
      <c r="J30">
        <f>VLOOKUP(A30,Timetable_Schedule!A29:L135,10,FALSE)</f>
        <v>1</v>
      </c>
      <c r="K30" t="str">
        <f>VLOOKUP(A30,Timetable_Schedule!A29:L135,11,FALSE)</f>
        <v>No</v>
      </c>
    </row>
    <row r="31" spans="1:11" x14ac:dyDescent="0.3">
      <c r="A31" s="2" t="str">
        <f>VLOOKUP(Timetable_Schedule!A31,Timetable_Schedule!A30:L136,1,FALSE)</f>
        <v>TS0030</v>
      </c>
      <c r="B31" t="str">
        <f>IF(COUNTBLANK(Timetable_Schedule!B31)=0,Timetable_Schedule!B31,"Unknown")</f>
        <v>Unknown</v>
      </c>
      <c r="C31" t="str">
        <f>VLOOKUP(A31,Timetable_Schedule!A30:L136,3,FALSE)</f>
        <v>8:00-9:00</v>
      </c>
      <c r="D31" t="str">
        <f>IF(COUNTBLANK(Timetable_Schedule!D31)=0,Timetable_Schedule!D31,"Unknown")</f>
        <v>IT</v>
      </c>
      <c r="E31" t="str">
        <f>VLOOKUP(A31,Timetable_Schedule!A30:L136,5,FALSE)</f>
        <v>IT122</v>
      </c>
      <c r="F31" t="str">
        <f>VLOOKUP(A31,Timetable_Schedule!A30:L136,6,FALSE)</f>
        <v>CAD/CAM</v>
      </c>
      <c r="G31" t="str">
        <f>VLOOKUP(A31,Timetable_Schedule!A30:L136,7,FALSE)</f>
        <v>FAC1013</v>
      </c>
      <c r="H31">
        <f>VLOOKUP(A31,Timetable_Schedule!A30:L136,8,FALSE)</f>
        <v>5</v>
      </c>
      <c r="I31" t="str">
        <f>VLOOKUP(A31,Timetable_Schedule!A30:L130,9,FALSE)</f>
        <v>A</v>
      </c>
      <c r="J31">
        <f>VLOOKUP(A31,Timetable_Schedule!A30:L136,10,FALSE)</f>
        <v>2</v>
      </c>
      <c r="K31" t="str">
        <f>VLOOKUP(A31,Timetable_Schedule!A30:L136,11,FALSE)</f>
        <v>Yes</v>
      </c>
    </row>
    <row r="32" spans="1:11" x14ac:dyDescent="0.3">
      <c r="A32" s="2" t="str">
        <f>VLOOKUP(Timetable_Schedule!A32,Timetable_Schedule!A31:L137,1,FALSE)</f>
        <v>TS0031</v>
      </c>
      <c r="B32" t="str">
        <f>IF(COUNTBLANK(Timetable_Schedule!B32)=0,Timetable_Schedule!B32,"Unknown")</f>
        <v>Monday</v>
      </c>
      <c r="C32" t="str">
        <f>VLOOKUP(A32,Timetable_Schedule!A31:L137,3,FALSE)</f>
        <v>9:00-10:00</v>
      </c>
      <c r="D32" t="str">
        <f>IF(COUNTBLANK(Timetable_Schedule!D32)=0,Timetable_Schedule!D32,"Unknown")</f>
        <v>MCA</v>
      </c>
      <c r="E32" t="str">
        <f>VLOOKUP(A32,Timetable_Schedule!A31:L137,5,FALSE)</f>
        <v>MC129</v>
      </c>
      <c r="F32" t="str">
        <f>VLOOKUP(A32,Timetable_Schedule!A31:L137,6,FALSE)</f>
        <v>Blockchain</v>
      </c>
      <c r="G32" t="str">
        <f>VLOOKUP(A32,Timetable_Schedule!A31:L137,7,FALSE)</f>
        <v>FAC1017</v>
      </c>
      <c r="H32">
        <f>VLOOKUP(A32,Timetable_Schedule!A31:L137,8,FALSE)</f>
        <v>2</v>
      </c>
      <c r="I32" t="str">
        <f>VLOOKUP(A32,Timetable_Schedule!A31:L131,9,FALSE)</f>
        <v>A</v>
      </c>
      <c r="J32">
        <f>VLOOKUP(A32,Timetable_Schedule!A31:L137,10,FALSE)</f>
        <v>1</v>
      </c>
      <c r="K32" t="str">
        <f>VLOOKUP(A32,Timetable_Schedule!A31:L137,11,FALSE)</f>
        <v>No</v>
      </c>
    </row>
    <row r="33" spans="1:11" x14ac:dyDescent="0.3">
      <c r="A33" s="2" t="str">
        <f>VLOOKUP(Timetable_Schedule!A33,Timetable_Schedule!A32:L138,1,FALSE)</f>
        <v>TS0032</v>
      </c>
      <c r="B33" t="str">
        <f>IF(COUNTBLANK(Timetable_Schedule!B33)=0,Timetable_Schedule!B33,"Unknown")</f>
        <v>Thursday</v>
      </c>
      <c r="C33" t="str">
        <f>VLOOKUP(A33,Timetable_Schedule!A32:L138,3,FALSE)</f>
        <v>11:00-12:00</v>
      </c>
      <c r="D33" t="str">
        <f>IF(COUNTBLANK(Timetable_Schedule!D33)=0,Timetable_Schedule!D33,"Unknown")</f>
        <v>MCA</v>
      </c>
      <c r="E33" t="str">
        <f>VLOOKUP(A33,Timetable_Schedule!A32:L138,5,FALSE)</f>
        <v>MC109</v>
      </c>
      <c r="F33" t="str">
        <f>VLOOKUP(A33,Timetable_Schedule!A32:L138,6,FALSE)</f>
        <v>Digital Signal Processing</v>
      </c>
      <c r="G33" t="str">
        <f>VLOOKUP(A33,Timetable_Schedule!A32:L138,7,FALSE)</f>
        <v>FAC1003</v>
      </c>
      <c r="H33">
        <f>VLOOKUP(A33,Timetable_Schedule!A32:L138,8,FALSE)</f>
        <v>4</v>
      </c>
      <c r="I33" t="str">
        <f>VLOOKUP(A33,Timetable_Schedule!A32:L132,9,FALSE)</f>
        <v>A</v>
      </c>
      <c r="J33">
        <f>VLOOKUP(A33,Timetable_Schedule!A32:L138,10,FALSE)</f>
        <v>2</v>
      </c>
      <c r="K33" t="str">
        <f>VLOOKUP(A33,Timetable_Schedule!A32:L138,11,FALSE)</f>
        <v>Yes</v>
      </c>
    </row>
    <row r="34" spans="1:11" x14ac:dyDescent="0.3">
      <c r="A34" s="2" t="str">
        <f>VLOOKUP(Timetable_Schedule!A34,Timetable_Schedule!A33:L139,1,FALSE)</f>
        <v>TS0033</v>
      </c>
      <c r="B34" t="str">
        <f>IF(COUNTBLANK(Timetable_Schedule!B34)=0,Timetable_Schedule!B34,"Unknown")</f>
        <v>Saturday</v>
      </c>
      <c r="C34" t="str">
        <f>VLOOKUP(A34,Timetable_Schedule!A33:L139,3,FALSE)</f>
        <v>9:00-10:00</v>
      </c>
      <c r="D34" t="str">
        <f>IF(COUNTBLANK(Timetable_Schedule!D34)=0,Timetable_Schedule!D34,"Unknown")</f>
        <v>IT</v>
      </c>
      <c r="E34" t="str">
        <f>VLOOKUP(A34,Timetable_Schedule!A33:L139,5,FALSE)</f>
        <v>IT124</v>
      </c>
      <c r="F34" t="str">
        <f>VLOOKUP(A34,Timetable_Schedule!A33:L139,6,FALSE)</f>
        <v>Robotics</v>
      </c>
      <c r="G34" t="str">
        <f>VLOOKUP(A34,Timetable_Schedule!A33:L139,7,FALSE)</f>
        <v>FAC1020</v>
      </c>
      <c r="H34">
        <f>VLOOKUP(A34,Timetable_Schedule!A33:L139,8,FALSE)</f>
        <v>6</v>
      </c>
      <c r="I34" t="str">
        <f>VLOOKUP(A34,Timetable_Schedule!A33:L133,9,FALSE)</f>
        <v>A</v>
      </c>
      <c r="J34">
        <f>VLOOKUP(A34,Timetable_Schedule!A33:L139,10,FALSE)</f>
        <v>1</v>
      </c>
      <c r="K34" t="str">
        <f>VLOOKUP(A34,Timetable_Schedule!A33:L139,11,FALSE)</f>
        <v>No</v>
      </c>
    </row>
    <row r="35" spans="1:11" x14ac:dyDescent="0.3">
      <c r="A35" s="2" t="str">
        <f>VLOOKUP(Timetable_Schedule!A35,Timetable_Schedule!A34:L140,1,FALSE)</f>
        <v>TS0034</v>
      </c>
      <c r="B35" t="str">
        <f>IF(COUNTBLANK(Timetable_Schedule!B35)=0,Timetable_Schedule!B35,"Unknown")</f>
        <v>Saturday</v>
      </c>
      <c r="C35" t="str">
        <f>VLOOKUP(A35,Timetable_Schedule!A34:L140,3,FALSE)</f>
        <v>10:00-11:00</v>
      </c>
      <c r="D35" t="str">
        <f>IF(COUNTBLANK(Timetable_Schedule!D35)=0,Timetable_Schedule!D35,"Unknown")</f>
        <v>CE</v>
      </c>
      <c r="E35" t="str">
        <f>VLOOKUP(A35,Timetable_Schedule!A34:L140,5,FALSE)</f>
        <v>CE120</v>
      </c>
      <c r="F35" t="str">
        <f>VLOOKUP(A35,Timetable_Schedule!A34:L140,6,FALSE)</f>
        <v>Java Programming</v>
      </c>
      <c r="G35" t="str">
        <f>VLOOKUP(A35,Timetable_Schedule!A34:L140,7,FALSE)</f>
        <v>FAC1037</v>
      </c>
      <c r="H35">
        <f>VLOOKUP(A35,Timetable_Schedule!A34:L140,8,FALSE)</f>
        <v>5</v>
      </c>
      <c r="I35" t="str">
        <f>VLOOKUP(A35,Timetable_Schedule!A34:L134,9,FALSE)</f>
        <v>A</v>
      </c>
      <c r="J35">
        <f>VLOOKUP(A35,Timetable_Schedule!A34:L140,10,FALSE)</f>
        <v>1</v>
      </c>
      <c r="K35" t="str">
        <f>VLOOKUP(A35,Timetable_Schedule!A34:L140,11,FALSE)</f>
        <v>No</v>
      </c>
    </row>
    <row r="36" spans="1:11" x14ac:dyDescent="0.3">
      <c r="A36" s="2" t="str">
        <f>VLOOKUP(Timetable_Schedule!A36,Timetable_Schedule!A35:L141,1,FALSE)</f>
        <v>TS0035</v>
      </c>
      <c r="B36" t="str">
        <f>IF(COUNTBLANK(Timetable_Schedule!B36)=0,Timetable_Schedule!B36,"Unknown")</f>
        <v>Thursday</v>
      </c>
      <c r="C36" t="str">
        <f>VLOOKUP(A36,Timetable_Schedule!A35:L141,3,FALSE)</f>
        <v>11:00-12:00</v>
      </c>
      <c r="D36" t="str">
        <f>IF(COUNTBLANK(Timetable_Schedule!D36)=0,Timetable_Schedule!D36,"Unknown")</f>
        <v>IT</v>
      </c>
      <c r="E36" t="str">
        <f>VLOOKUP(A36,Timetable_Schedule!A35:L141,5,FALSE)</f>
        <v>IT117</v>
      </c>
      <c r="F36" t="str">
        <f>VLOOKUP(A36,Timetable_Schedule!A35:L141,6,FALSE)</f>
        <v>Cybersecurity</v>
      </c>
      <c r="G36" t="str">
        <f>VLOOKUP(A36,Timetable_Schedule!A35:L141,7,FALSE)</f>
        <v>FAC1031</v>
      </c>
      <c r="H36">
        <f>VLOOKUP(A36,Timetable_Schedule!A35:L141,8,FALSE)</f>
        <v>6</v>
      </c>
      <c r="I36" t="str">
        <f>VLOOKUP(A36,Timetable_Schedule!A35:L135,9,FALSE)</f>
        <v>A</v>
      </c>
      <c r="J36">
        <f>VLOOKUP(A36,Timetable_Schedule!A35:L141,10,FALSE)</f>
        <v>1</v>
      </c>
      <c r="K36" t="str">
        <f>VLOOKUP(A36,Timetable_Schedule!A35:L141,11,FALSE)</f>
        <v>No</v>
      </c>
    </row>
    <row r="37" spans="1:11" x14ac:dyDescent="0.3">
      <c r="A37" s="2" t="str">
        <f>VLOOKUP(Timetable_Schedule!A37,Timetable_Schedule!A36:L142,1,FALSE)</f>
        <v>TS0036</v>
      </c>
      <c r="B37" t="str">
        <f>IF(COUNTBLANK(Timetable_Schedule!B37)=0,Timetable_Schedule!B37,"Unknown")</f>
        <v>Monday</v>
      </c>
      <c r="C37" t="str">
        <f>VLOOKUP(A37,Timetable_Schedule!A36:L142,3,FALSE)</f>
        <v>8:00-9:00</v>
      </c>
      <c r="D37" t="str">
        <f>IF(COUNTBLANK(Timetable_Schedule!D37)=0,Timetable_Schedule!D37,"Unknown")</f>
        <v>CE</v>
      </c>
      <c r="E37" t="str">
        <f>VLOOKUP(A37,Timetable_Schedule!A36:L142,5,FALSE)</f>
        <v>CE108</v>
      </c>
      <c r="F37" t="str">
        <f>VLOOKUP(A37,Timetable_Schedule!A36:L142,6,FALSE)</f>
        <v>VLSI Design</v>
      </c>
      <c r="G37" t="str">
        <f>VLOOKUP(A37,Timetable_Schedule!A36:L142,7,FALSE)</f>
        <v>FAC1031</v>
      </c>
      <c r="H37">
        <f>VLOOKUP(A37,Timetable_Schedule!A36:L142,8,FALSE)</f>
        <v>7</v>
      </c>
      <c r="I37" t="str">
        <f>VLOOKUP(A37,Timetable_Schedule!A36:L136,9,FALSE)</f>
        <v>A</v>
      </c>
      <c r="J37">
        <f>VLOOKUP(A37,Timetable_Schedule!A36:L142,10,FALSE)</f>
        <v>2</v>
      </c>
      <c r="K37" t="str">
        <f>VLOOKUP(A37,Timetable_Schedule!A36:L142,11,FALSE)</f>
        <v>Yes</v>
      </c>
    </row>
    <row r="38" spans="1:11" x14ac:dyDescent="0.3">
      <c r="A38" s="2" t="str">
        <f>VLOOKUP(Timetable_Schedule!A38,Timetable_Schedule!A37:L143,1,FALSE)</f>
        <v>TS0037</v>
      </c>
      <c r="B38" t="str">
        <f>IF(COUNTBLANK(Timetable_Schedule!B38)=0,Timetable_Schedule!B38,"Unknown")</f>
        <v>Saturday</v>
      </c>
      <c r="C38" t="str">
        <f>VLOOKUP(A38,Timetable_Schedule!A37:L143,3,FALSE)</f>
        <v>8:00-9:00</v>
      </c>
      <c r="D38" t="str">
        <f>IF(COUNTBLANK(Timetable_Schedule!D38)=0,Timetable_Schedule!D38,"Unknown")</f>
        <v>MCA</v>
      </c>
      <c r="E38" t="str">
        <f>VLOOKUP(A38,Timetable_Schedule!A37:L143,5,FALSE)</f>
        <v>MC129</v>
      </c>
      <c r="F38" t="str">
        <f>VLOOKUP(A38,Timetable_Schedule!A37:L143,6,FALSE)</f>
        <v>Thermodynamics</v>
      </c>
      <c r="G38" t="str">
        <f>VLOOKUP(A38,Timetable_Schedule!A37:L143,7,FALSE)</f>
        <v>FAC1049</v>
      </c>
      <c r="H38">
        <f>VLOOKUP(A38,Timetable_Schedule!A37:L143,8,FALSE)</f>
        <v>4</v>
      </c>
      <c r="I38" t="str">
        <f>VLOOKUP(A38,Timetable_Schedule!A37:L137,9,FALSE)</f>
        <v>A</v>
      </c>
      <c r="J38">
        <f>VLOOKUP(A38,Timetable_Schedule!A37:L143,10,FALSE)</f>
        <v>2</v>
      </c>
      <c r="K38" t="str">
        <f>VLOOKUP(A38,Timetable_Schedule!A37:L143,11,FALSE)</f>
        <v>Yes</v>
      </c>
    </row>
    <row r="39" spans="1:11" x14ac:dyDescent="0.3">
      <c r="A39" s="2" t="str">
        <f>VLOOKUP(Timetable_Schedule!A39,Timetable_Schedule!A38:L144,1,FALSE)</f>
        <v>TS0038</v>
      </c>
      <c r="B39" t="str">
        <f>IF(COUNTBLANK(Timetable_Schedule!B39)=0,Timetable_Schedule!B39,"Unknown")</f>
        <v>Tuesday</v>
      </c>
      <c r="C39" t="str">
        <f>VLOOKUP(A39,Timetable_Schedule!A38:L144,3,FALSE)</f>
        <v>3:00-4:00</v>
      </c>
      <c r="D39" t="str">
        <f>IF(COUNTBLANK(Timetable_Schedule!D39)=0,Timetable_Schedule!D39,"Unknown")</f>
        <v>CE</v>
      </c>
      <c r="E39" t="str">
        <f>VLOOKUP(A39,Timetable_Schedule!A38:L144,5,FALSE)</f>
        <v>CE122</v>
      </c>
      <c r="F39" t="str">
        <f>VLOOKUP(A39,Timetable_Schedule!A38:L144,6,FALSE)</f>
        <v>Software Engineering</v>
      </c>
      <c r="G39" t="str">
        <f>VLOOKUP(A39,Timetable_Schedule!A38:L144,7,FALSE)</f>
        <v>FAC1034</v>
      </c>
      <c r="H39">
        <f>VLOOKUP(A39,Timetable_Schedule!A38:L144,8,FALSE)</f>
        <v>7</v>
      </c>
      <c r="I39" t="str">
        <f>VLOOKUP(A39,Timetable_Schedule!A38:L138,9,FALSE)</f>
        <v>A</v>
      </c>
      <c r="J39">
        <f>VLOOKUP(A39,Timetable_Schedule!A38:L144,10,FALSE)</f>
        <v>1</v>
      </c>
      <c r="K39" t="str">
        <f>VLOOKUP(A39,Timetable_Schedule!A38:L144,11,FALSE)</f>
        <v>No</v>
      </c>
    </row>
    <row r="40" spans="1:11" x14ac:dyDescent="0.3">
      <c r="A40" s="2" t="str">
        <f>VLOOKUP(Timetable_Schedule!A40,Timetable_Schedule!A39:L145,1,FALSE)</f>
        <v>TS0039</v>
      </c>
      <c r="B40" t="str">
        <f>IF(COUNTBLANK(Timetable_Schedule!B40)=0,Timetable_Schedule!B40,"Unknown")</f>
        <v>Saturday</v>
      </c>
      <c r="C40" t="str">
        <f>VLOOKUP(A40,Timetable_Schedule!A39:L145,3,FALSE)</f>
        <v>12:00-1:00</v>
      </c>
      <c r="D40" t="str">
        <f>IF(COUNTBLANK(Timetable_Schedule!D40)=0,Timetable_Schedule!D40,"Unknown")</f>
        <v>MBA</v>
      </c>
      <c r="E40" t="str">
        <f>VLOOKUP(A40,Timetable_Schedule!A39:L145,5,FALSE)</f>
        <v>MB125</v>
      </c>
      <c r="F40" t="str">
        <f>VLOOKUP(A40,Timetable_Schedule!A39:L145,6,FALSE)</f>
        <v>Fluid Mechanics</v>
      </c>
      <c r="G40" t="str">
        <f>VLOOKUP(A40,Timetable_Schedule!A39:L145,7,FALSE)</f>
        <v>FAC1050</v>
      </c>
      <c r="H40">
        <f>VLOOKUP(A40,Timetable_Schedule!A39:L145,8,FALSE)</f>
        <v>4</v>
      </c>
      <c r="I40" t="str">
        <f>VLOOKUP(A40,Timetable_Schedule!A39:L139,9,FALSE)</f>
        <v>A</v>
      </c>
      <c r="J40">
        <f>VLOOKUP(A40,Timetable_Schedule!A39:L145,10,FALSE)</f>
        <v>2</v>
      </c>
      <c r="K40" t="str">
        <f>VLOOKUP(A40,Timetable_Schedule!A39:L145,11,FALSE)</f>
        <v>Yes</v>
      </c>
    </row>
    <row r="41" spans="1:11" x14ac:dyDescent="0.3">
      <c r="A41" s="2" t="str">
        <f>VLOOKUP(Timetable_Schedule!A41,Timetable_Schedule!A40:L146,1,FALSE)</f>
        <v>TS0040</v>
      </c>
      <c r="B41" t="str">
        <f>IF(COUNTBLANK(Timetable_Schedule!B41)=0,Timetable_Schedule!B41,"Unknown")</f>
        <v>Unknown</v>
      </c>
      <c r="C41" t="str">
        <f>VLOOKUP(A41,Timetable_Schedule!A40:L146,3,FALSE)</f>
        <v>1:00-2:00</v>
      </c>
      <c r="D41" t="str">
        <f>IF(COUNTBLANK(Timetable_Schedule!D41)=0,Timetable_Schedule!D41,"Unknown")</f>
        <v>EEE</v>
      </c>
      <c r="E41" t="str">
        <f>VLOOKUP(A41,Timetable_Schedule!A40:L146,5,FALSE)</f>
        <v>EE129</v>
      </c>
      <c r="F41" t="str">
        <f>VLOOKUP(A41,Timetable_Schedule!A40:L146,6,FALSE)</f>
        <v>Thermodynamics</v>
      </c>
      <c r="G41" t="str">
        <f>VLOOKUP(A41,Timetable_Schedule!A40:L146,7,FALSE)</f>
        <v>FAC1035</v>
      </c>
      <c r="H41">
        <f>VLOOKUP(A41,Timetable_Schedule!A40:L146,8,FALSE)</f>
        <v>4</v>
      </c>
      <c r="I41" t="str">
        <f>VLOOKUP(A41,Timetable_Schedule!A40:L140,9,FALSE)</f>
        <v>A</v>
      </c>
      <c r="J41">
        <f>VLOOKUP(A41,Timetable_Schedule!A40:L146,10,FALSE)</f>
        <v>1</v>
      </c>
      <c r="K41" t="str">
        <f>VLOOKUP(A41,Timetable_Schedule!A40:L146,11,FALSE)</f>
        <v>No</v>
      </c>
    </row>
    <row r="42" spans="1:11" x14ac:dyDescent="0.3">
      <c r="A42" s="2" t="str">
        <f>VLOOKUP(Timetable_Schedule!A42,Timetable_Schedule!A41:L147,1,FALSE)</f>
        <v>TS0041</v>
      </c>
      <c r="B42" t="str">
        <f>IF(COUNTBLANK(Timetable_Schedule!B42)=0,Timetable_Schedule!B42,"Unknown")</f>
        <v>Wednesday</v>
      </c>
      <c r="C42" t="str">
        <f>VLOOKUP(A42,Timetable_Schedule!A41:L147,3,FALSE)</f>
        <v>4:00-5:00</v>
      </c>
      <c r="D42" t="str">
        <f>IF(COUNTBLANK(Timetable_Schedule!D42)=0,Timetable_Schedule!D42,"Unknown")</f>
        <v>ECE</v>
      </c>
      <c r="E42" t="str">
        <f>VLOOKUP(A42,Timetable_Schedule!A41:L147,5,FALSE)</f>
        <v>EC115</v>
      </c>
      <c r="F42" t="str">
        <f>VLOOKUP(A42,Timetable_Schedule!A41:L147,6,FALSE)</f>
        <v>Java Programming</v>
      </c>
      <c r="G42" t="str">
        <f>VLOOKUP(A42,Timetable_Schedule!A41:L147,7,FALSE)</f>
        <v>FAC1027</v>
      </c>
      <c r="H42">
        <f>VLOOKUP(A42,Timetable_Schedule!A41:L147,8,FALSE)</f>
        <v>7</v>
      </c>
      <c r="I42" t="str">
        <f>VLOOKUP(A42,Timetable_Schedule!A41:L141,9,FALSE)</f>
        <v>A</v>
      </c>
      <c r="J42">
        <f>VLOOKUP(A42,Timetable_Schedule!A41:L147,10,FALSE)</f>
        <v>1</v>
      </c>
      <c r="K42" t="str">
        <f>VLOOKUP(A42,Timetable_Schedule!A41:L147,11,FALSE)</f>
        <v>No</v>
      </c>
    </row>
    <row r="43" spans="1:11" x14ac:dyDescent="0.3">
      <c r="A43" s="2" t="str">
        <f>VLOOKUP(Timetable_Schedule!A43,Timetable_Schedule!A42:L148,1,FALSE)</f>
        <v>TS0042</v>
      </c>
      <c r="B43" t="str">
        <f>IF(COUNTBLANK(Timetable_Schedule!B43)=0,Timetable_Schedule!B43,"Unknown")</f>
        <v>Thursday</v>
      </c>
      <c r="C43" t="str">
        <f>VLOOKUP(A43,Timetable_Schedule!A42:L148,3,FALSE)</f>
        <v>2:00-3:00</v>
      </c>
      <c r="D43" t="str">
        <f>IF(COUNTBLANK(Timetable_Schedule!D43)=0,Timetable_Schedule!D43,"Unknown")</f>
        <v>CSE</v>
      </c>
      <c r="E43" t="str">
        <f>VLOOKUP(A43,Timetable_Schedule!A42:L148,5,FALSE)</f>
        <v>CS118</v>
      </c>
      <c r="F43" t="str">
        <f>VLOOKUP(A43,Timetable_Schedule!A42:L148,6,FALSE)</f>
        <v>Statistics</v>
      </c>
      <c r="G43" t="str">
        <f>VLOOKUP(A43,Timetable_Schedule!A42:L148,7,FALSE)</f>
        <v>FAC1048</v>
      </c>
      <c r="H43">
        <f>VLOOKUP(A43,Timetable_Schedule!A42:L148,8,FALSE)</f>
        <v>4</v>
      </c>
      <c r="I43" t="str">
        <f>VLOOKUP(A43,Timetable_Schedule!A42:L142,9,FALSE)</f>
        <v>A</v>
      </c>
      <c r="J43">
        <f>VLOOKUP(A43,Timetable_Schedule!A42:L148,10,FALSE)</f>
        <v>1</v>
      </c>
      <c r="K43" t="str">
        <f>VLOOKUP(A43,Timetable_Schedule!A42:L148,11,FALSE)</f>
        <v>No</v>
      </c>
    </row>
    <row r="44" spans="1:11" x14ac:dyDescent="0.3">
      <c r="A44" s="2" t="str">
        <f>VLOOKUP(Timetable_Schedule!A44,Timetable_Schedule!A43:L149,1,FALSE)</f>
        <v>TS0043</v>
      </c>
      <c r="B44" t="str">
        <f>IF(COUNTBLANK(Timetable_Schedule!B44)=0,Timetable_Schedule!B44,"Unknown")</f>
        <v>Saturday</v>
      </c>
      <c r="C44" t="str">
        <f>VLOOKUP(A44,Timetable_Schedule!A43:L149,3,FALSE)</f>
        <v>2:00-3:00</v>
      </c>
      <c r="D44" t="str">
        <f>IF(COUNTBLANK(Timetable_Schedule!D44)=0,Timetable_Schedule!D44,"Unknown")</f>
        <v>CSE</v>
      </c>
      <c r="E44" t="str">
        <f>VLOOKUP(A44,Timetable_Schedule!A43:L149,5,FALSE)</f>
        <v>CS124</v>
      </c>
      <c r="F44" t="str">
        <f>VLOOKUP(A44,Timetable_Schedule!A43:L149,6,FALSE)</f>
        <v>Technical Writing</v>
      </c>
      <c r="G44" t="str">
        <f>VLOOKUP(A44,Timetable_Schedule!A43:L149,7,FALSE)</f>
        <v>FAC1011</v>
      </c>
      <c r="H44">
        <f>VLOOKUP(A44,Timetable_Schedule!A43:L149,8,FALSE)</f>
        <v>7</v>
      </c>
      <c r="I44" t="str">
        <f>VLOOKUP(A44,Timetable_Schedule!A43:L143,9,FALSE)</f>
        <v>A</v>
      </c>
      <c r="J44">
        <f>VLOOKUP(A44,Timetable_Schedule!A43:L149,10,FALSE)</f>
        <v>1</v>
      </c>
      <c r="K44" t="str">
        <f>VLOOKUP(A44,Timetable_Schedule!A43:L149,11,FALSE)</f>
        <v>No</v>
      </c>
    </row>
    <row r="45" spans="1:11" x14ac:dyDescent="0.3">
      <c r="A45" s="2" t="str">
        <f>VLOOKUP(Timetable_Schedule!A45,Timetable_Schedule!A44:L150,1,FALSE)</f>
        <v>TS0044</v>
      </c>
      <c r="B45" t="str">
        <f>IF(COUNTBLANK(Timetable_Schedule!B45)=0,Timetable_Schedule!B45,"Unknown")</f>
        <v>Monday</v>
      </c>
      <c r="C45" t="str">
        <f>VLOOKUP(A45,Timetable_Schedule!A44:L150,3,FALSE)</f>
        <v>12:00-1:00</v>
      </c>
      <c r="D45" t="str">
        <f>IF(COUNTBLANK(Timetable_Schedule!D45)=0,Timetable_Schedule!D45,"Unknown")</f>
        <v>ME</v>
      </c>
      <c r="E45" t="str">
        <f>VLOOKUP(A45,Timetable_Schedule!A44:L150,5,FALSE)</f>
        <v>ME113</v>
      </c>
      <c r="F45" t="str">
        <f>VLOOKUP(A45,Timetable_Schedule!A44:L150,6,FALSE)</f>
        <v>Cybersecurity</v>
      </c>
      <c r="G45" t="str">
        <f>VLOOKUP(A45,Timetable_Schedule!A44:L150,7,FALSE)</f>
        <v>FAC1021</v>
      </c>
      <c r="H45">
        <f>VLOOKUP(A45,Timetable_Schedule!A44:L150,8,FALSE)</f>
        <v>6</v>
      </c>
      <c r="I45" t="str">
        <f>VLOOKUP(A45,Timetable_Schedule!A44:L144,9,FALSE)</f>
        <v>A</v>
      </c>
      <c r="J45">
        <f>VLOOKUP(A45,Timetable_Schedule!A44:L150,10,FALSE)</f>
        <v>2</v>
      </c>
      <c r="K45" t="str">
        <f>VLOOKUP(A45,Timetable_Schedule!A44:L150,11,FALSE)</f>
        <v>Yes</v>
      </c>
    </row>
    <row r="46" spans="1:11" x14ac:dyDescent="0.3">
      <c r="A46" s="2" t="str">
        <f>VLOOKUP(Timetable_Schedule!A46,Timetable_Schedule!A45:L151,1,FALSE)</f>
        <v>TS0045</v>
      </c>
      <c r="B46" t="str">
        <f>IF(COUNTBLANK(Timetable_Schedule!B46)=0,Timetable_Schedule!B46,"Unknown")</f>
        <v>Thursday</v>
      </c>
      <c r="C46" t="str">
        <f>VLOOKUP(A46,Timetable_Schedule!A45:L151,3,FALSE)</f>
        <v>8:00-9:00</v>
      </c>
      <c r="D46" t="str">
        <f>IF(COUNTBLANK(Timetable_Schedule!D46)=0,Timetable_Schedule!D46,"Unknown")</f>
        <v>MCA</v>
      </c>
      <c r="E46" t="str">
        <f>VLOOKUP(A46,Timetable_Schedule!A45:L151,5,FALSE)</f>
        <v>MC124</v>
      </c>
      <c r="F46" t="str">
        <f>VLOOKUP(A46,Timetable_Schedule!A45:L151,6,FALSE)</f>
        <v>Fluid Mechanics</v>
      </c>
      <c r="G46" t="str">
        <f>VLOOKUP(A46,Timetable_Schedule!A45:L151,7,FALSE)</f>
        <v>FAC1035</v>
      </c>
      <c r="H46">
        <f>VLOOKUP(A46,Timetable_Schedule!A45:L151,8,FALSE)</f>
        <v>4</v>
      </c>
      <c r="I46" t="str">
        <f>VLOOKUP(A46,Timetable_Schedule!A45:L145,9,FALSE)</f>
        <v>A</v>
      </c>
      <c r="J46">
        <f>VLOOKUP(A46,Timetable_Schedule!A45:L151,10,FALSE)</f>
        <v>2</v>
      </c>
      <c r="K46" t="str">
        <f>VLOOKUP(A46,Timetable_Schedule!A45:L151,11,FALSE)</f>
        <v>Yes</v>
      </c>
    </row>
    <row r="47" spans="1:11" x14ac:dyDescent="0.3">
      <c r="A47" s="2" t="str">
        <f>VLOOKUP(Timetable_Schedule!A47,Timetable_Schedule!A46:L152,1,FALSE)</f>
        <v>TS0046</v>
      </c>
      <c r="B47" t="str">
        <f>IF(COUNTBLANK(Timetable_Schedule!B47)=0,Timetable_Schedule!B47,"Unknown")</f>
        <v>Friday</v>
      </c>
      <c r="C47" t="str">
        <f>VLOOKUP(A47,Timetable_Schedule!A46:L152,3,FALSE)</f>
        <v>10:00-11:00</v>
      </c>
      <c r="D47" t="str">
        <f>IF(COUNTBLANK(Timetable_Schedule!D47)=0,Timetable_Schedule!D47,"Unknown")</f>
        <v>CE</v>
      </c>
      <c r="E47" t="str">
        <f>VLOOKUP(A47,Timetable_Schedule!A46:L152,5,FALSE)</f>
        <v>CE108</v>
      </c>
      <c r="F47" t="str">
        <f>VLOOKUP(A47,Timetable_Schedule!A46:L152,6,FALSE)</f>
        <v>VLSI Design</v>
      </c>
      <c r="G47" t="str">
        <f>VLOOKUP(A47,Timetable_Schedule!A46:L152,7,FALSE)</f>
        <v>FAC1009</v>
      </c>
      <c r="H47">
        <f>VLOOKUP(A47,Timetable_Schedule!A46:L152,8,FALSE)</f>
        <v>4</v>
      </c>
      <c r="I47" t="str">
        <f>VLOOKUP(A47,Timetable_Schedule!A46:L146,9,FALSE)</f>
        <v>A</v>
      </c>
      <c r="J47">
        <f>VLOOKUP(A47,Timetable_Schedule!A46:L152,10,FALSE)</f>
        <v>2</v>
      </c>
      <c r="K47" t="str">
        <f>VLOOKUP(A47,Timetable_Schedule!A46:L152,11,FALSE)</f>
        <v>Yes</v>
      </c>
    </row>
    <row r="48" spans="1:11" x14ac:dyDescent="0.3">
      <c r="A48" s="2" t="str">
        <f>VLOOKUP(Timetable_Schedule!A48,Timetable_Schedule!A47:L153,1,FALSE)</f>
        <v>TS0047</v>
      </c>
      <c r="B48" t="str">
        <f>IF(COUNTBLANK(Timetable_Schedule!B48)=0,Timetable_Schedule!B48,"Unknown")</f>
        <v>Tuesday</v>
      </c>
      <c r="C48" t="str">
        <f>VLOOKUP(A48,Timetable_Schedule!A47:L153,3,FALSE)</f>
        <v>12:00-1:00</v>
      </c>
      <c r="D48" t="str">
        <f>IF(COUNTBLANK(Timetable_Schedule!D48)=0,Timetable_Schedule!D48,"Unknown")</f>
        <v>ME</v>
      </c>
      <c r="E48" t="str">
        <f>VLOOKUP(A48,Timetable_Schedule!A47:L153,5,FALSE)</f>
        <v>ME104</v>
      </c>
      <c r="F48" t="str">
        <f>VLOOKUP(A48,Timetable_Schedule!A47:L153,6,FALSE)</f>
        <v>Digital Signal Processing</v>
      </c>
      <c r="G48" t="str">
        <f>VLOOKUP(A48,Timetable_Schedule!A47:L153,7,FALSE)</f>
        <v>FAC1038</v>
      </c>
      <c r="H48">
        <f>VLOOKUP(A48,Timetable_Schedule!A47:L153,8,FALSE)</f>
        <v>7</v>
      </c>
      <c r="I48" t="str">
        <f>VLOOKUP(A48,Timetable_Schedule!A47:L147,9,FALSE)</f>
        <v>A</v>
      </c>
      <c r="J48">
        <f>VLOOKUP(A48,Timetable_Schedule!A47:L153,10,FALSE)</f>
        <v>2</v>
      </c>
      <c r="K48" t="str">
        <f>VLOOKUP(A48,Timetable_Schedule!A47:L153,11,FALSE)</f>
        <v>Yes</v>
      </c>
    </row>
    <row r="49" spans="1:11" x14ac:dyDescent="0.3">
      <c r="A49" s="2" t="str">
        <f>VLOOKUP(Timetable_Schedule!A49,Timetable_Schedule!A48:L154,1,FALSE)</f>
        <v>TS0048</v>
      </c>
      <c r="B49" t="str">
        <f>IF(COUNTBLANK(Timetable_Schedule!B49)=0,Timetable_Schedule!B49,"Unknown")</f>
        <v>Saturday</v>
      </c>
      <c r="C49" t="str">
        <f>VLOOKUP(A49,Timetable_Schedule!A48:L154,3,FALSE)</f>
        <v>9:00-10:00</v>
      </c>
      <c r="D49" t="str">
        <f>IF(COUNTBLANK(Timetable_Schedule!D49)=0,Timetable_Schedule!D49,"Unknown")</f>
        <v>CE</v>
      </c>
      <c r="E49" t="str">
        <f>VLOOKUP(A49,Timetable_Schedule!A48:L154,5,FALSE)</f>
        <v>CE126</v>
      </c>
      <c r="F49" t="str">
        <f>VLOOKUP(A49,Timetable_Schedule!A48:L154,6,FALSE)</f>
        <v>AI</v>
      </c>
      <c r="G49" t="str">
        <f>VLOOKUP(A49,Timetable_Schedule!A48:L154,7,FALSE)</f>
        <v>FAC1037</v>
      </c>
      <c r="H49">
        <f>VLOOKUP(A49,Timetable_Schedule!A48:L154,8,FALSE)</f>
        <v>6</v>
      </c>
      <c r="I49" t="str">
        <f>VLOOKUP(A49,Timetable_Schedule!A48:L148,9,FALSE)</f>
        <v>A</v>
      </c>
      <c r="J49">
        <f>VLOOKUP(A49,Timetable_Schedule!A48:L154,10,FALSE)</f>
        <v>1</v>
      </c>
      <c r="K49" t="str">
        <f>VLOOKUP(A49,Timetable_Schedule!A48:L154,11,FALSE)</f>
        <v>No</v>
      </c>
    </row>
    <row r="50" spans="1:11" x14ac:dyDescent="0.3">
      <c r="A50" s="2" t="str">
        <f>VLOOKUP(Timetable_Schedule!A50,Timetable_Schedule!A49:L155,1,FALSE)</f>
        <v>TS0049</v>
      </c>
      <c r="B50" t="str">
        <f>IF(COUNTBLANK(Timetable_Schedule!B50)=0,Timetable_Schedule!B50,"Unknown")</f>
        <v>Thursday</v>
      </c>
      <c r="C50" t="str">
        <f>VLOOKUP(A50,Timetable_Schedule!A49:L155,3,FALSE)</f>
        <v>1:00-2:00</v>
      </c>
      <c r="D50" t="str">
        <f>IF(COUNTBLANK(Timetable_Schedule!D50)=0,Timetable_Schedule!D50,"Unknown")</f>
        <v>MCA</v>
      </c>
      <c r="E50" t="str">
        <f>VLOOKUP(A50,Timetable_Schedule!A49:L155,5,FALSE)</f>
        <v>MC121</v>
      </c>
      <c r="F50" t="str">
        <f>VLOOKUP(A50,Timetable_Schedule!A49:L155,6,FALSE)</f>
        <v>Compiler Design</v>
      </c>
      <c r="G50" t="str">
        <f>VLOOKUP(A50,Timetable_Schedule!A49:L155,7,FALSE)</f>
        <v>FAC1030</v>
      </c>
      <c r="H50">
        <f>VLOOKUP(A50,Timetable_Schedule!A49:L155,8,FALSE)</f>
        <v>3</v>
      </c>
      <c r="I50" t="str">
        <f>VLOOKUP(A50,Timetable_Schedule!A49:L149,9,FALSE)</f>
        <v>A</v>
      </c>
      <c r="J50">
        <f>VLOOKUP(A50,Timetable_Schedule!A49:L155,10,FALSE)</f>
        <v>2</v>
      </c>
      <c r="K50" t="str">
        <f>VLOOKUP(A50,Timetable_Schedule!A49:L155,11,FALSE)</f>
        <v>Yes</v>
      </c>
    </row>
    <row r="51" spans="1:11" x14ac:dyDescent="0.3">
      <c r="A51" s="2" t="str">
        <f>VLOOKUP(Timetable_Schedule!A51,Timetable_Schedule!A50:L156,1,FALSE)</f>
        <v>TS0050</v>
      </c>
      <c r="B51" t="str">
        <f>IF(COUNTBLANK(Timetable_Schedule!B51)=0,Timetable_Schedule!B51,"Unknown")</f>
        <v>Wednesday</v>
      </c>
      <c r="C51" t="str">
        <f>VLOOKUP(A51,Timetable_Schedule!A50:L156,3,FALSE)</f>
        <v>11:00-12:00</v>
      </c>
      <c r="D51" t="str">
        <f>IF(COUNTBLANK(Timetable_Schedule!D51)=0,Timetable_Schedule!D51,"Unknown")</f>
        <v>MCA</v>
      </c>
      <c r="E51" t="str">
        <f>VLOOKUP(A51,Timetable_Schedule!A50:L156,5,FALSE)</f>
        <v>MC127</v>
      </c>
      <c r="F51" t="str">
        <f>VLOOKUP(A51,Timetable_Schedule!A50:L156,6,FALSE)</f>
        <v>Analog Circuits</v>
      </c>
      <c r="G51" t="str">
        <f>VLOOKUP(A51,Timetable_Schedule!A50:L156,7,FALSE)</f>
        <v>FAC1006</v>
      </c>
      <c r="H51">
        <f>VLOOKUP(A51,Timetable_Schedule!A50:L156,8,FALSE)</f>
        <v>8</v>
      </c>
      <c r="I51" t="str">
        <f>VLOOKUP(A51,Timetable_Schedule!A50:L150,9,FALSE)</f>
        <v>A</v>
      </c>
      <c r="J51">
        <f>VLOOKUP(A51,Timetable_Schedule!A50:L156,10,FALSE)</f>
        <v>1</v>
      </c>
      <c r="K51" t="str">
        <f>VLOOKUP(A51,Timetable_Schedule!A50:L156,11,FALSE)</f>
        <v>No</v>
      </c>
    </row>
    <row r="52" spans="1:11" x14ac:dyDescent="0.3">
      <c r="A52" s="2" t="str">
        <f>VLOOKUP(Timetable_Schedule!A52,Timetable_Schedule!A51:L157,1,FALSE)</f>
        <v>TS0051</v>
      </c>
      <c r="B52" t="str">
        <f>IF(COUNTBLANK(Timetable_Schedule!B52)=0,Timetable_Schedule!B52,"Unknown")</f>
        <v>Thursday</v>
      </c>
      <c r="C52" t="str">
        <f>VLOOKUP(A52,Timetable_Schedule!A51:L157,3,FALSE)</f>
        <v>11:00-12:00</v>
      </c>
      <c r="D52" t="str">
        <f>IF(COUNTBLANK(Timetable_Schedule!D52)=0,Timetable_Schedule!D52,"Unknown")</f>
        <v>MBA</v>
      </c>
      <c r="E52" t="str">
        <f>VLOOKUP(A52,Timetable_Schedule!A51:L157,5,FALSE)</f>
        <v>MB112</v>
      </c>
      <c r="F52" t="str">
        <f>VLOOKUP(A52,Timetable_Schedule!A51:L157,6,FALSE)</f>
        <v>Linear Algebra</v>
      </c>
      <c r="G52" t="str">
        <f>VLOOKUP(A52,Timetable_Schedule!A51:L157,7,FALSE)</f>
        <v>FAC1017</v>
      </c>
      <c r="H52">
        <f>VLOOKUP(A52,Timetable_Schedule!A51:L157,8,FALSE)</f>
        <v>5</v>
      </c>
      <c r="I52" t="str">
        <f>VLOOKUP(A52,Timetable_Schedule!A51:L151,9,FALSE)</f>
        <v>A</v>
      </c>
      <c r="J52">
        <f>VLOOKUP(A52,Timetable_Schedule!A51:L157,10,FALSE)</f>
        <v>2</v>
      </c>
      <c r="K52" t="str">
        <f>VLOOKUP(A52,Timetable_Schedule!A51:L157,11,FALSE)</f>
        <v>Yes</v>
      </c>
    </row>
    <row r="53" spans="1:11" x14ac:dyDescent="0.3">
      <c r="A53" s="2" t="str">
        <f>VLOOKUP(Timetable_Schedule!A53,Timetable_Schedule!A52:L158,1,FALSE)</f>
        <v>TS0052</v>
      </c>
      <c r="B53" t="str">
        <f>IF(COUNTBLANK(Timetable_Schedule!B53)=0,Timetable_Schedule!B53,"Unknown")</f>
        <v>Friday</v>
      </c>
      <c r="C53" t="str">
        <f>VLOOKUP(A53,Timetable_Schedule!A52:L158,3,FALSE)</f>
        <v>11:00-12:00</v>
      </c>
      <c r="D53" t="str">
        <f>IF(COUNTBLANK(Timetable_Schedule!D53)=0,Timetable_Schedule!D53,"Unknown")</f>
        <v>CE</v>
      </c>
      <c r="E53" t="str">
        <f>VLOOKUP(A53,Timetable_Schedule!A52:L158,5,FALSE)</f>
        <v>CE123</v>
      </c>
      <c r="F53" t="str">
        <f>VLOOKUP(A53,Timetable_Schedule!A52:L158,6,FALSE)</f>
        <v>Java Programming</v>
      </c>
      <c r="G53" t="str">
        <f>VLOOKUP(A53,Timetable_Schedule!A52:L158,7,FALSE)</f>
        <v>FAC1031</v>
      </c>
      <c r="H53">
        <f>VLOOKUP(A53,Timetable_Schedule!A52:L158,8,FALSE)</f>
        <v>2</v>
      </c>
      <c r="I53" t="str">
        <f>VLOOKUP(A53,Timetable_Schedule!A52:L152,9,FALSE)</f>
        <v>A</v>
      </c>
      <c r="J53">
        <f>VLOOKUP(A53,Timetable_Schedule!A52:L158,10,FALSE)</f>
        <v>1</v>
      </c>
      <c r="K53" t="str">
        <f>VLOOKUP(A53,Timetable_Schedule!A52:L158,11,FALSE)</f>
        <v>No</v>
      </c>
    </row>
    <row r="54" spans="1:11" x14ac:dyDescent="0.3">
      <c r="A54" s="2" t="str">
        <f>VLOOKUP(Timetable_Schedule!A54,Timetable_Schedule!A53:L159,1,FALSE)</f>
        <v>TS0053</v>
      </c>
      <c r="B54" t="str">
        <f>IF(COUNTBLANK(Timetable_Schedule!B54)=0,Timetable_Schedule!B54,"Unknown")</f>
        <v>Thursday</v>
      </c>
      <c r="C54" t="str">
        <f>VLOOKUP(A54,Timetable_Schedule!A53:L159,3,FALSE)</f>
        <v>4:00-5:00</v>
      </c>
      <c r="D54" t="str">
        <f>IF(COUNTBLANK(Timetable_Schedule!D54)=0,Timetable_Schedule!D54,"Unknown")</f>
        <v>CE</v>
      </c>
      <c r="E54" t="str">
        <f>VLOOKUP(A54,Timetable_Schedule!A53:L159,5,FALSE)</f>
        <v>CE117</v>
      </c>
      <c r="F54" t="str">
        <f>VLOOKUP(A54,Timetable_Schedule!A53:L159,6,FALSE)</f>
        <v>CAD/CAM</v>
      </c>
      <c r="G54" t="str">
        <f>VLOOKUP(A54,Timetable_Schedule!A53:L159,7,FALSE)</f>
        <v>FAC1023</v>
      </c>
      <c r="H54">
        <f>VLOOKUP(A54,Timetable_Schedule!A53:L159,8,FALSE)</f>
        <v>8</v>
      </c>
      <c r="I54" t="str">
        <f>VLOOKUP(A54,Timetable_Schedule!A53:L153,9,FALSE)</f>
        <v>A</v>
      </c>
      <c r="J54">
        <f>VLOOKUP(A54,Timetable_Schedule!A53:L159,10,FALSE)</f>
        <v>1</v>
      </c>
      <c r="K54" t="str">
        <f>VLOOKUP(A54,Timetable_Schedule!A53:L159,11,FALSE)</f>
        <v>No</v>
      </c>
    </row>
    <row r="55" spans="1:11" x14ac:dyDescent="0.3">
      <c r="A55" s="2" t="str">
        <f>VLOOKUP(Timetable_Schedule!A55,Timetable_Schedule!A54:L160,1,FALSE)</f>
        <v>TS0054</v>
      </c>
      <c r="B55" t="str">
        <f>IF(COUNTBLANK(Timetable_Schedule!B55)=0,Timetable_Schedule!B55,"Unknown")</f>
        <v>Wednesday</v>
      </c>
      <c r="C55" t="str">
        <f>VLOOKUP(A55,Timetable_Schedule!A54:L160,3,FALSE)</f>
        <v>9:00-10:00</v>
      </c>
      <c r="D55" t="str">
        <f>IF(COUNTBLANK(Timetable_Schedule!D55)=0,Timetable_Schedule!D55,"Unknown")</f>
        <v>CE</v>
      </c>
      <c r="E55" t="str">
        <f>VLOOKUP(A55,Timetable_Schedule!A54:L160,5,FALSE)</f>
        <v>CE124</v>
      </c>
      <c r="F55" t="str">
        <f>VLOOKUP(A55,Timetable_Schedule!A54:L160,6,FALSE)</f>
        <v>Software Engineering</v>
      </c>
      <c r="G55" t="str">
        <f>VLOOKUP(A55,Timetable_Schedule!A54:L160,7,FALSE)</f>
        <v>FAC1035</v>
      </c>
      <c r="H55">
        <f>VLOOKUP(A55,Timetable_Schedule!A54:L160,8,FALSE)</f>
        <v>4</v>
      </c>
      <c r="I55" t="str">
        <f>VLOOKUP(A55,Timetable_Schedule!A54:L154,9,FALSE)</f>
        <v>A</v>
      </c>
      <c r="J55">
        <f>VLOOKUP(A55,Timetable_Schedule!A54:L160,10,FALSE)</f>
        <v>2</v>
      </c>
      <c r="K55" t="str">
        <f>VLOOKUP(A55,Timetable_Schedule!A54:L160,11,FALSE)</f>
        <v>Yes</v>
      </c>
    </row>
    <row r="56" spans="1:11" x14ac:dyDescent="0.3">
      <c r="A56" s="2" t="str">
        <f>VLOOKUP(Timetable_Schedule!A56,Timetable_Schedule!A55:L161,1,FALSE)</f>
        <v>TS0055</v>
      </c>
      <c r="B56" t="str">
        <f>IF(COUNTBLANK(Timetable_Schedule!B56)=0,Timetable_Schedule!B56,"Unknown")</f>
        <v>Tuesday</v>
      </c>
      <c r="C56" t="str">
        <f>VLOOKUP(A56,Timetable_Schedule!A55:L161,3,FALSE)</f>
        <v>1:00-2:00</v>
      </c>
      <c r="D56" t="str">
        <f>IF(COUNTBLANK(Timetable_Schedule!D56)=0,Timetable_Schedule!D56,"Unknown")</f>
        <v>Unknown</v>
      </c>
      <c r="E56" t="str">
        <f>VLOOKUP(A56,Timetable_Schedule!A55:L161,5,FALSE)</f>
        <v>EC106</v>
      </c>
      <c r="F56" t="str">
        <f>VLOOKUP(A56,Timetable_Schedule!A55:L161,6,FALSE)</f>
        <v>VLSI Design</v>
      </c>
      <c r="G56" t="str">
        <f>VLOOKUP(A56,Timetable_Schedule!A55:L161,7,FALSE)</f>
        <v>FAC1020</v>
      </c>
      <c r="H56">
        <f>VLOOKUP(A56,Timetable_Schedule!A55:L161,8,FALSE)</f>
        <v>1</v>
      </c>
      <c r="I56" t="str">
        <f>VLOOKUP(A56,Timetable_Schedule!A55:L155,9,FALSE)</f>
        <v>A</v>
      </c>
      <c r="J56">
        <f>VLOOKUP(A56,Timetable_Schedule!A55:L161,10,FALSE)</f>
        <v>1</v>
      </c>
      <c r="K56" t="str">
        <f>VLOOKUP(A56,Timetable_Schedule!A55:L161,11,FALSE)</f>
        <v>No</v>
      </c>
    </row>
    <row r="57" spans="1:11" x14ac:dyDescent="0.3">
      <c r="A57" s="2" t="str">
        <f>VLOOKUP(Timetable_Schedule!A57,Timetable_Schedule!A56:L162,1,FALSE)</f>
        <v>TS0056</v>
      </c>
      <c r="B57" t="str">
        <f>IF(COUNTBLANK(Timetable_Schedule!B57)=0,Timetable_Schedule!B57,"Unknown")</f>
        <v>Friday</v>
      </c>
      <c r="C57" t="str">
        <f>VLOOKUP(A57,Timetable_Schedule!A56:L162,3,FALSE)</f>
        <v>12:00-1:00</v>
      </c>
      <c r="D57" t="str">
        <f>IF(COUNTBLANK(Timetable_Schedule!D57)=0,Timetable_Schedule!D57,"Unknown")</f>
        <v>MBA</v>
      </c>
      <c r="E57" t="str">
        <f>VLOOKUP(A57,Timetable_Schedule!A56:L162,5,FALSE)</f>
        <v>MB116</v>
      </c>
      <c r="F57" t="str">
        <f>VLOOKUP(A57,Timetable_Schedule!A56:L162,6,FALSE)</f>
        <v>AI</v>
      </c>
      <c r="G57" t="str">
        <f>VLOOKUP(A57,Timetable_Schedule!A56:L162,7,FALSE)</f>
        <v>FAC1031</v>
      </c>
      <c r="H57">
        <f>VLOOKUP(A57,Timetable_Schedule!A56:L162,8,FALSE)</f>
        <v>3</v>
      </c>
      <c r="I57" t="str">
        <f>VLOOKUP(A57,Timetable_Schedule!A56:L156,9,FALSE)</f>
        <v>A</v>
      </c>
      <c r="J57">
        <f>VLOOKUP(A57,Timetable_Schedule!A56:L162,10,FALSE)</f>
        <v>2</v>
      </c>
      <c r="K57" t="str">
        <f>VLOOKUP(A57,Timetable_Schedule!A56:L162,11,FALSE)</f>
        <v>Yes</v>
      </c>
    </row>
    <row r="58" spans="1:11" x14ac:dyDescent="0.3">
      <c r="A58" s="2" t="str">
        <f>VLOOKUP(Timetable_Schedule!A58,Timetable_Schedule!A57:L163,1,FALSE)</f>
        <v>TS0057</v>
      </c>
      <c r="B58" t="str">
        <f>IF(COUNTBLANK(Timetable_Schedule!B58)=0,Timetable_Schedule!B58,"Unknown")</f>
        <v>Thursday</v>
      </c>
      <c r="C58" t="str">
        <f>VLOOKUP(A58,Timetable_Schedule!A57:L163,3,FALSE)</f>
        <v>9:00-10:00</v>
      </c>
      <c r="D58" t="str">
        <f>IF(COUNTBLANK(Timetable_Schedule!D58)=0,Timetable_Schedule!D58,"Unknown")</f>
        <v>ECE</v>
      </c>
      <c r="E58" t="str">
        <f>VLOOKUP(A58,Timetable_Schedule!A57:L163,5,FALSE)</f>
        <v>EC119</v>
      </c>
      <c r="F58" t="str">
        <f>VLOOKUP(A58,Timetable_Schedule!A57:L163,6,FALSE)</f>
        <v>Computer Networks</v>
      </c>
      <c r="G58" t="str">
        <f>VLOOKUP(A58,Timetable_Schedule!A57:L163,7,FALSE)</f>
        <v>FAC1041</v>
      </c>
      <c r="H58">
        <f>VLOOKUP(A58,Timetable_Schedule!A57:L163,8,FALSE)</f>
        <v>5</v>
      </c>
      <c r="I58" t="str">
        <f>VLOOKUP(A58,Timetable_Schedule!A57:L157,9,FALSE)</f>
        <v>A</v>
      </c>
      <c r="J58">
        <f>VLOOKUP(A58,Timetable_Schedule!A57:L163,10,FALSE)</f>
        <v>1</v>
      </c>
      <c r="K58" t="str">
        <f>VLOOKUP(A58,Timetable_Schedule!A57:L163,11,FALSE)</f>
        <v>No</v>
      </c>
    </row>
    <row r="59" spans="1:11" x14ac:dyDescent="0.3">
      <c r="A59" s="2" t="str">
        <f>VLOOKUP(Timetable_Schedule!A59,Timetable_Schedule!A58:L164,1,FALSE)</f>
        <v>TS0058</v>
      </c>
      <c r="B59" t="str">
        <f>IF(COUNTBLANK(Timetable_Schedule!B59)=0,Timetable_Schedule!B59,"Unknown")</f>
        <v>Friday</v>
      </c>
      <c r="C59" t="str">
        <f>VLOOKUP(A59,Timetable_Schedule!A58:L164,3,FALSE)</f>
        <v>2:00-3:00</v>
      </c>
      <c r="D59" t="str">
        <f>IF(COUNTBLANK(Timetable_Schedule!D59)=0,Timetable_Schedule!D59,"Unknown")</f>
        <v>MCA</v>
      </c>
      <c r="E59" t="str">
        <f>VLOOKUP(A59,Timetable_Schedule!A58:L164,5,FALSE)</f>
        <v>MC115</v>
      </c>
      <c r="F59" t="str">
        <f>VLOOKUP(A59,Timetable_Schedule!A58:L164,6,FALSE)</f>
        <v>Digital Signal Processing</v>
      </c>
      <c r="G59" t="str">
        <f>VLOOKUP(A59,Timetable_Schedule!A58:L164,7,FALSE)</f>
        <v>FAC1029</v>
      </c>
      <c r="H59">
        <f>VLOOKUP(A59,Timetable_Schedule!A58:L164,8,FALSE)</f>
        <v>5</v>
      </c>
      <c r="I59" t="str">
        <f>VLOOKUP(A59,Timetable_Schedule!A58:L158,9,FALSE)</f>
        <v>A</v>
      </c>
      <c r="J59">
        <f>VLOOKUP(A59,Timetable_Schedule!A58:L164,10,FALSE)</f>
        <v>2</v>
      </c>
      <c r="K59" t="str">
        <f>VLOOKUP(A59,Timetable_Schedule!A58:L164,11,FALSE)</f>
        <v>Yes</v>
      </c>
    </row>
    <row r="60" spans="1:11" x14ac:dyDescent="0.3">
      <c r="A60" s="2" t="str">
        <f>VLOOKUP(Timetable_Schedule!A60,Timetable_Schedule!A59:L165,1,FALSE)</f>
        <v>TS0059</v>
      </c>
      <c r="B60" t="str">
        <f>IF(COUNTBLANK(Timetable_Schedule!B60)=0,Timetable_Schedule!B60,"Unknown")</f>
        <v>Tuesday</v>
      </c>
      <c r="C60" t="str">
        <f>VLOOKUP(A60,Timetable_Schedule!A59:L165,3,FALSE)</f>
        <v>11:00-12:00</v>
      </c>
      <c r="D60" t="str">
        <f>IF(COUNTBLANK(Timetable_Schedule!D60)=0,Timetable_Schedule!D60,"Unknown")</f>
        <v>CE</v>
      </c>
      <c r="E60" t="str">
        <f>VLOOKUP(A60,Timetable_Schedule!A59:L165,5,FALSE)</f>
        <v>CE106</v>
      </c>
      <c r="F60" t="str">
        <f>VLOOKUP(A60,Timetable_Schedule!A59:L165,6,FALSE)</f>
        <v>Fluid Mechanics</v>
      </c>
      <c r="G60" t="str">
        <f>VLOOKUP(A60,Timetable_Schedule!A59:L165,7,FALSE)</f>
        <v>FAC1036</v>
      </c>
      <c r="H60">
        <f>VLOOKUP(A60,Timetable_Schedule!A59:L165,8,FALSE)</f>
        <v>1</v>
      </c>
      <c r="I60" t="str">
        <f>VLOOKUP(A60,Timetable_Schedule!A59:L159,9,FALSE)</f>
        <v>A</v>
      </c>
      <c r="J60">
        <f>VLOOKUP(A60,Timetable_Schedule!A59:L165,10,FALSE)</f>
        <v>2</v>
      </c>
      <c r="K60" t="str">
        <f>VLOOKUP(A60,Timetable_Schedule!A59:L165,11,FALSE)</f>
        <v>Yes</v>
      </c>
    </row>
    <row r="61" spans="1:11" x14ac:dyDescent="0.3">
      <c r="A61" s="2" t="str">
        <f>VLOOKUP(Timetable_Schedule!A61,Timetable_Schedule!A60:L166,1,FALSE)</f>
        <v>TS0060</v>
      </c>
      <c r="B61" t="str">
        <f>IF(COUNTBLANK(Timetable_Schedule!B61)=0,Timetable_Schedule!B61,"Unknown")</f>
        <v>Wednesday</v>
      </c>
      <c r="C61" t="str">
        <f>VLOOKUP(A61,Timetable_Schedule!A60:L166,3,FALSE)</f>
        <v>12:00-1:00</v>
      </c>
      <c r="D61" t="str">
        <f>IF(COUNTBLANK(Timetable_Schedule!D61)=0,Timetable_Schedule!D61,"Unknown")</f>
        <v>EEE</v>
      </c>
      <c r="E61" t="str">
        <f>VLOOKUP(A61,Timetable_Schedule!A60:L166,5,FALSE)</f>
        <v>EE123</v>
      </c>
      <c r="F61" t="str">
        <f>VLOOKUP(A61,Timetable_Schedule!A60:L166,6,FALSE)</f>
        <v>DBMS</v>
      </c>
      <c r="G61" t="str">
        <f>VLOOKUP(A61,Timetable_Schedule!A60:L166,7,FALSE)</f>
        <v>FAC1030</v>
      </c>
      <c r="H61">
        <f>VLOOKUP(A61,Timetable_Schedule!A60:L166,8,FALSE)</f>
        <v>5</v>
      </c>
      <c r="I61" t="str">
        <f>VLOOKUP(A61,Timetable_Schedule!A60:L160,9,FALSE)</f>
        <v>A</v>
      </c>
      <c r="J61">
        <f>VLOOKUP(A61,Timetable_Schedule!A60:L166,10,FALSE)</f>
        <v>2</v>
      </c>
      <c r="K61" t="str">
        <f>VLOOKUP(A61,Timetable_Schedule!A60:L166,11,FALSE)</f>
        <v>Yes</v>
      </c>
    </row>
    <row r="62" spans="1:11" x14ac:dyDescent="0.3">
      <c r="A62" s="2" t="str">
        <f>VLOOKUP(Timetable_Schedule!A62,Timetable_Schedule!A61:L167,1,FALSE)</f>
        <v>TS0061</v>
      </c>
      <c r="B62" t="str">
        <f>IF(COUNTBLANK(Timetable_Schedule!B62)=0,Timetable_Schedule!B62,"Unknown")</f>
        <v>Tuesday</v>
      </c>
      <c r="C62" t="str">
        <f>VLOOKUP(A62,Timetable_Schedule!A61:L167,3,FALSE)</f>
        <v>9:00-10:00</v>
      </c>
      <c r="D62" t="str">
        <f>IF(COUNTBLANK(Timetable_Schedule!D62)=0,Timetable_Schedule!D62,"Unknown")</f>
        <v>CE</v>
      </c>
      <c r="E62" t="str">
        <f>VLOOKUP(A62,Timetable_Schedule!A61:L167,5,FALSE)</f>
        <v>CE102</v>
      </c>
      <c r="F62" t="str">
        <f>VLOOKUP(A62,Timetable_Schedule!A61:L167,6,FALSE)</f>
        <v>Cloud Computing</v>
      </c>
      <c r="G62" t="str">
        <f>VLOOKUP(A62,Timetable_Schedule!A61:L167,7,FALSE)</f>
        <v>FAC1011</v>
      </c>
      <c r="H62">
        <f>VLOOKUP(A62,Timetable_Schedule!A61:L167,8,FALSE)</f>
        <v>2</v>
      </c>
      <c r="I62" t="str">
        <f>VLOOKUP(A62,Timetable_Schedule!A61:L161,9,FALSE)</f>
        <v>A</v>
      </c>
      <c r="J62">
        <f>VLOOKUP(A62,Timetable_Schedule!A61:L167,10,FALSE)</f>
        <v>1</v>
      </c>
      <c r="K62" t="str">
        <f>VLOOKUP(A62,Timetable_Schedule!A61:L167,11,FALSE)</f>
        <v>No</v>
      </c>
    </row>
    <row r="63" spans="1:11" x14ac:dyDescent="0.3">
      <c r="A63" s="2" t="str">
        <f>VLOOKUP(Timetable_Schedule!A63,Timetable_Schedule!A62:L168,1,FALSE)</f>
        <v>TS0062</v>
      </c>
      <c r="B63" t="str">
        <f>IF(COUNTBLANK(Timetable_Schedule!B63)=0,Timetable_Schedule!B63,"Unknown")</f>
        <v>Thursday</v>
      </c>
      <c r="C63" t="str">
        <f>VLOOKUP(A63,Timetable_Schedule!A62:L168,3,FALSE)</f>
        <v>9:00-10:00</v>
      </c>
      <c r="D63" t="str">
        <f>IF(COUNTBLANK(Timetable_Schedule!D63)=0,Timetable_Schedule!D63,"Unknown")</f>
        <v>EEE</v>
      </c>
      <c r="E63" t="str">
        <f>VLOOKUP(A63,Timetable_Schedule!A62:L168,5,FALSE)</f>
        <v>EE120</v>
      </c>
      <c r="F63" t="str">
        <f>VLOOKUP(A63,Timetable_Schedule!A62:L168,6,FALSE)</f>
        <v>Distributed Systems</v>
      </c>
      <c r="G63" t="str">
        <f>VLOOKUP(A63,Timetable_Schedule!A62:L168,7,FALSE)</f>
        <v>FAC1003</v>
      </c>
      <c r="H63">
        <f>VLOOKUP(A63,Timetable_Schedule!A62:L168,8,FALSE)</f>
        <v>1</v>
      </c>
      <c r="I63" t="str">
        <f>VLOOKUP(A63,Timetable_Schedule!A62:L162,9,FALSE)</f>
        <v>A</v>
      </c>
      <c r="J63">
        <f>VLOOKUP(A63,Timetable_Schedule!A62:L168,10,FALSE)</f>
        <v>1</v>
      </c>
      <c r="K63" t="str">
        <f>VLOOKUP(A63,Timetable_Schedule!A62:L168,11,FALSE)</f>
        <v>No</v>
      </c>
    </row>
    <row r="64" spans="1:11" x14ac:dyDescent="0.3">
      <c r="A64" s="2" t="str">
        <f>VLOOKUP(Timetable_Schedule!A64,Timetable_Schedule!A63:L169,1,FALSE)</f>
        <v>TS0063</v>
      </c>
      <c r="B64" t="str">
        <f>IF(COUNTBLANK(Timetable_Schedule!B64)=0,Timetable_Schedule!B64,"Unknown")</f>
        <v>Tuesday</v>
      </c>
      <c r="C64" t="str">
        <f>VLOOKUP(A64,Timetable_Schedule!A63:L169,3,FALSE)</f>
        <v>3:00-4:00</v>
      </c>
      <c r="D64" t="str">
        <f>IF(COUNTBLANK(Timetable_Schedule!D64)=0,Timetable_Schedule!D64,"Unknown")</f>
        <v>EEE</v>
      </c>
      <c r="E64" t="str">
        <f>VLOOKUP(A64,Timetable_Schedule!A63:L169,5,FALSE)</f>
        <v>EE117</v>
      </c>
      <c r="F64" t="str">
        <f>VLOOKUP(A64,Timetable_Schedule!A63:L169,6,FALSE)</f>
        <v>Control Systems</v>
      </c>
      <c r="G64" t="str">
        <f>VLOOKUP(A64,Timetable_Schedule!A63:L169,7,FALSE)</f>
        <v>FAC1042</v>
      </c>
      <c r="H64">
        <f>VLOOKUP(A64,Timetable_Schedule!A63:L169,8,FALSE)</f>
        <v>3</v>
      </c>
      <c r="I64" t="str">
        <f>VLOOKUP(A64,Timetable_Schedule!A63:L163,9,FALSE)</f>
        <v>A</v>
      </c>
      <c r="J64">
        <f>VLOOKUP(A64,Timetable_Schedule!A63:L169,10,FALSE)</f>
        <v>2</v>
      </c>
      <c r="K64" t="str">
        <f>VLOOKUP(A64,Timetable_Schedule!A63:L169,11,FALSE)</f>
        <v>Yes</v>
      </c>
    </row>
    <row r="65" spans="1:11" x14ac:dyDescent="0.3">
      <c r="A65" s="2" t="str">
        <f>VLOOKUP(Timetable_Schedule!A65,Timetable_Schedule!A64:L170,1,FALSE)</f>
        <v>TS0064</v>
      </c>
      <c r="B65" t="str">
        <f>IF(COUNTBLANK(Timetable_Schedule!B65)=0,Timetable_Schedule!B65,"Unknown")</f>
        <v>Wednesday</v>
      </c>
      <c r="C65" t="str">
        <f>VLOOKUP(A65,Timetable_Schedule!A64:L170,3,FALSE)</f>
        <v>1:00-2:00</v>
      </c>
      <c r="D65" t="str">
        <f>IF(COUNTBLANK(Timetable_Schedule!D65)=0,Timetable_Schedule!D65,"Unknown")</f>
        <v>MBA</v>
      </c>
      <c r="E65" t="str">
        <f>VLOOKUP(A65,Timetable_Schedule!A64:L170,5,FALSE)</f>
        <v>MB122</v>
      </c>
      <c r="F65" t="str">
        <f>VLOOKUP(A65,Timetable_Schedule!A64:L170,6,FALSE)</f>
        <v>Statistics</v>
      </c>
      <c r="G65" t="str">
        <f>VLOOKUP(A65,Timetable_Schedule!A64:L170,7,FALSE)</f>
        <v>FAC1007</v>
      </c>
      <c r="H65">
        <f>VLOOKUP(A65,Timetable_Schedule!A64:L170,8,FALSE)</f>
        <v>8</v>
      </c>
      <c r="I65" t="str">
        <f>VLOOKUP(A65,Timetable_Schedule!A64:L164,9,FALSE)</f>
        <v>A</v>
      </c>
      <c r="J65">
        <f>VLOOKUP(A65,Timetable_Schedule!A64:L170,10,FALSE)</f>
        <v>1</v>
      </c>
      <c r="K65" t="str">
        <f>VLOOKUP(A65,Timetable_Schedule!A64:L170,11,FALSE)</f>
        <v>No</v>
      </c>
    </row>
    <row r="66" spans="1:11" x14ac:dyDescent="0.3">
      <c r="A66" s="2" t="str">
        <f>VLOOKUP(Timetable_Schedule!A66,Timetable_Schedule!A65:L171,1,FALSE)</f>
        <v>TS0065</v>
      </c>
      <c r="B66" t="str">
        <f>IF(COUNTBLANK(Timetable_Schedule!B66)=0,Timetable_Schedule!B66,"Unknown")</f>
        <v>Unknown</v>
      </c>
      <c r="C66" t="str">
        <f>VLOOKUP(A66,Timetable_Schedule!A65:L171,3,FALSE)</f>
        <v>1:00-2:00</v>
      </c>
      <c r="D66" t="str">
        <f>IF(COUNTBLANK(Timetable_Schedule!D66)=0,Timetable_Schedule!D66,"Unknown")</f>
        <v>MBA</v>
      </c>
      <c r="E66" t="str">
        <f>VLOOKUP(A66,Timetable_Schedule!A65:L171,5,FALSE)</f>
        <v>MB104</v>
      </c>
      <c r="F66" t="str">
        <f>VLOOKUP(A66,Timetable_Schedule!A65:L171,6,FALSE)</f>
        <v>Machine Learning</v>
      </c>
      <c r="G66" t="str">
        <f>VLOOKUP(A66,Timetable_Schedule!A65:L171,7,FALSE)</f>
        <v>FAC1050</v>
      </c>
      <c r="H66">
        <f>VLOOKUP(A66,Timetable_Schedule!A65:L171,8,FALSE)</f>
        <v>7</v>
      </c>
      <c r="I66" t="str">
        <f>VLOOKUP(A66,Timetable_Schedule!A65:L165,9,FALSE)</f>
        <v>A</v>
      </c>
      <c r="J66">
        <f>VLOOKUP(A66,Timetable_Schedule!A65:L171,10,FALSE)</f>
        <v>1</v>
      </c>
      <c r="K66" t="str">
        <f>VLOOKUP(A66,Timetable_Schedule!A65:L171,11,FALSE)</f>
        <v>No</v>
      </c>
    </row>
    <row r="67" spans="1:11" x14ac:dyDescent="0.3">
      <c r="A67" s="2" t="str">
        <f>VLOOKUP(Timetable_Schedule!A67,Timetable_Schedule!A66:L172,1,FALSE)</f>
        <v>TS0066</v>
      </c>
      <c r="B67" t="str">
        <f>IF(COUNTBLANK(Timetable_Schedule!B67)=0,Timetable_Schedule!B67,"Unknown")</f>
        <v>Tuesday</v>
      </c>
      <c r="C67" t="str">
        <f>VLOOKUP(A67,Timetable_Schedule!A66:L172,3,FALSE)</f>
        <v>12:00-1:00</v>
      </c>
      <c r="D67" t="str">
        <f>IF(COUNTBLANK(Timetable_Schedule!D67)=0,Timetable_Schedule!D67,"Unknown")</f>
        <v>MBA</v>
      </c>
      <c r="E67" t="str">
        <f>VLOOKUP(A67,Timetable_Schedule!A66:L172,5,FALSE)</f>
        <v>MB118</v>
      </c>
      <c r="F67" t="str">
        <f>VLOOKUP(A67,Timetable_Schedule!A66:L172,6,FALSE)</f>
        <v>Data Mining</v>
      </c>
      <c r="G67" t="str">
        <f>VLOOKUP(A67,Timetable_Schedule!A66:L172,7,FALSE)</f>
        <v>FAC1009</v>
      </c>
      <c r="H67">
        <f>VLOOKUP(A67,Timetable_Schedule!A66:L172,8,FALSE)</f>
        <v>8</v>
      </c>
      <c r="I67" t="str">
        <f>VLOOKUP(A67,Timetable_Schedule!A66:L166,9,FALSE)</f>
        <v>A</v>
      </c>
      <c r="J67">
        <f>VLOOKUP(A67,Timetable_Schedule!A66:L172,10,FALSE)</f>
        <v>2</v>
      </c>
      <c r="K67" t="str">
        <f>VLOOKUP(A67,Timetable_Schedule!A66:L172,11,FALSE)</f>
        <v>Yes</v>
      </c>
    </row>
    <row r="68" spans="1:11" x14ac:dyDescent="0.3">
      <c r="A68" s="2" t="str">
        <f>VLOOKUP(Timetable_Schedule!A68,Timetable_Schedule!A67:L173,1,FALSE)</f>
        <v>TS0067</v>
      </c>
      <c r="B68" t="str">
        <f>IF(COUNTBLANK(Timetable_Schedule!B68)=0,Timetable_Schedule!B68,"Unknown")</f>
        <v>Friday</v>
      </c>
      <c r="C68" t="str">
        <f>VLOOKUP(A68,Timetable_Schedule!A67:L173,3,FALSE)</f>
        <v>2:00-3:00</v>
      </c>
      <c r="D68" t="str">
        <f>IF(COUNTBLANK(Timetable_Schedule!D68)=0,Timetable_Schedule!D68,"Unknown")</f>
        <v>ME</v>
      </c>
      <c r="E68" t="str">
        <f>VLOOKUP(A68,Timetable_Schedule!A67:L173,5,FALSE)</f>
        <v>ME103</v>
      </c>
      <c r="F68" t="str">
        <f>VLOOKUP(A68,Timetable_Schedule!A67:L173,6,FALSE)</f>
        <v>CAD/CAM</v>
      </c>
      <c r="G68" t="str">
        <f>VLOOKUP(A68,Timetable_Schedule!A67:L173,7,FALSE)</f>
        <v>FAC1015</v>
      </c>
      <c r="H68">
        <f>VLOOKUP(A68,Timetable_Schedule!A67:L173,8,FALSE)</f>
        <v>2</v>
      </c>
      <c r="I68" t="str">
        <f>VLOOKUP(A68,Timetable_Schedule!A67:L167,9,FALSE)</f>
        <v>A</v>
      </c>
      <c r="J68">
        <f>VLOOKUP(A68,Timetable_Schedule!A67:L173,10,FALSE)</f>
        <v>2</v>
      </c>
      <c r="K68" t="str">
        <f>VLOOKUP(A68,Timetable_Schedule!A67:L173,11,FALSE)</f>
        <v>Yes</v>
      </c>
    </row>
    <row r="69" spans="1:11" x14ac:dyDescent="0.3">
      <c r="A69" s="2" t="str">
        <f>VLOOKUP(Timetable_Schedule!A69,Timetable_Schedule!A68:L174,1,FALSE)</f>
        <v>TS0068</v>
      </c>
      <c r="B69" t="str">
        <f>IF(COUNTBLANK(Timetable_Schedule!B69)=0,Timetable_Schedule!B69,"Unknown")</f>
        <v>Thursday</v>
      </c>
      <c r="C69" t="str">
        <f>VLOOKUP(A69,Timetable_Schedule!A68:L174,3,FALSE)</f>
        <v>11:00-12:00</v>
      </c>
      <c r="D69" t="str">
        <f>IF(COUNTBLANK(Timetable_Schedule!D69)=0,Timetable_Schedule!D69,"Unknown")</f>
        <v>EEE</v>
      </c>
      <c r="E69" t="str">
        <f>VLOOKUP(A69,Timetable_Schedule!A68:L174,5,FALSE)</f>
        <v>EE115</v>
      </c>
      <c r="F69" t="str">
        <f>VLOOKUP(A69,Timetable_Schedule!A68:L174,6,FALSE)</f>
        <v>Java Programming</v>
      </c>
      <c r="G69" t="str">
        <f>VLOOKUP(A69,Timetable_Schedule!A68:L174,7,FALSE)</f>
        <v>FAC1036</v>
      </c>
      <c r="H69">
        <f>VLOOKUP(A69,Timetable_Schedule!A68:L174,8,FALSE)</f>
        <v>3</v>
      </c>
      <c r="I69" t="str">
        <f>VLOOKUP(A69,Timetable_Schedule!A68:L168,9,FALSE)</f>
        <v>A</v>
      </c>
      <c r="J69">
        <f>VLOOKUP(A69,Timetable_Schedule!A68:L174,10,FALSE)</f>
        <v>1</v>
      </c>
      <c r="K69" t="str">
        <f>VLOOKUP(A69,Timetable_Schedule!A68:L174,11,FALSE)</f>
        <v>No</v>
      </c>
    </row>
    <row r="70" spans="1:11" x14ac:dyDescent="0.3">
      <c r="A70" s="2" t="str">
        <f>VLOOKUP(Timetable_Schedule!A70,Timetable_Schedule!A69:L175,1,FALSE)</f>
        <v>TS0069</v>
      </c>
      <c r="B70" t="str">
        <f>IF(COUNTBLANK(Timetable_Schedule!B70)=0,Timetable_Schedule!B70,"Unknown")</f>
        <v>Monday</v>
      </c>
      <c r="C70" t="str">
        <f>VLOOKUP(A70,Timetable_Schedule!A69:L175,3,FALSE)</f>
        <v>12:00-1:00</v>
      </c>
      <c r="D70" t="str">
        <f>IF(COUNTBLANK(Timetable_Schedule!D70)=0,Timetable_Schedule!D70,"Unknown")</f>
        <v>IT</v>
      </c>
      <c r="E70" t="str">
        <f>VLOOKUP(A70,Timetable_Schedule!A69:L175,5,FALSE)</f>
        <v>IT124</v>
      </c>
      <c r="F70" t="str">
        <f>VLOOKUP(A70,Timetable_Schedule!A69:L175,6,FALSE)</f>
        <v>Distributed Systems</v>
      </c>
      <c r="G70" t="str">
        <f>VLOOKUP(A70,Timetable_Schedule!A69:L175,7,FALSE)</f>
        <v>FAC1020</v>
      </c>
      <c r="H70">
        <f>VLOOKUP(A70,Timetable_Schedule!A69:L175,8,FALSE)</f>
        <v>8</v>
      </c>
      <c r="I70" t="str">
        <f>VLOOKUP(A70,Timetable_Schedule!A69:L169,9,FALSE)</f>
        <v>A</v>
      </c>
      <c r="J70">
        <f>VLOOKUP(A70,Timetable_Schedule!A69:L175,10,FALSE)</f>
        <v>1</v>
      </c>
      <c r="K70" t="str">
        <f>VLOOKUP(A70,Timetable_Schedule!A69:L175,11,FALSE)</f>
        <v>No</v>
      </c>
    </row>
    <row r="71" spans="1:11" x14ac:dyDescent="0.3">
      <c r="A71" s="2" t="str">
        <f>VLOOKUP(Timetable_Schedule!A71,Timetable_Schedule!A70:L176,1,FALSE)</f>
        <v>TS0070</v>
      </c>
      <c r="B71" t="str">
        <f>IF(COUNTBLANK(Timetable_Schedule!B71)=0,Timetable_Schedule!B71,"Unknown")</f>
        <v>Tuesday</v>
      </c>
      <c r="C71" t="str">
        <f>VLOOKUP(A71,Timetable_Schedule!A70:L176,3,FALSE)</f>
        <v>11:00-12:00</v>
      </c>
      <c r="D71" t="str">
        <f>IF(COUNTBLANK(Timetable_Schedule!D71)=0,Timetable_Schedule!D71,"Unknown")</f>
        <v>MCA</v>
      </c>
      <c r="E71" t="str">
        <f>VLOOKUP(A71,Timetable_Schedule!A70:L176,5,FALSE)</f>
        <v>MC119</v>
      </c>
      <c r="F71" t="str">
        <f>VLOOKUP(A71,Timetable_Schedule!A70:L176,6,FALSE)</f>
        <v>Cybersecurity</v>
      </c>
      <c r="G71" t="str">
        <f>VLOOKUP(A71,Timetable_Schedule!A70:L176,7,FALSE)</f>
        <v>FAC1025</v>
      </c>
      <c r="H71">
        <f>VLOOKUP(A71,Timetable_Schedule!A70:L176,8,FALSE)</f>
        <v>6</v>
      </c>
      <c r="I71" t="str">
        <f>VLOOKUP(A71,Timetable_Schedule!A70:L170,9,FALSE)</f>
        <v>A</v>
      </c>
      <c r="J71">
        <f>VLOOKUP(A71,Timetable_Schedule!A70:L176,10,FALSE)</f>
        <v>1</v>
      </c>
      <c r="K71" t="str">
        <f>VLOOKUP(A71,Timetable_Schedule!A70:L176,11,FALSE)</f>
        <v>No</v>
      </c>
    </row>
    <row r="72" spans="1:11" x14ac:dyDescent="0.3">
      <c r="A72" s="2" t="str">
        <f>VLOOKUP(Timetable_Schedule!A72,Timetable_Schedule!A71:L177,1,FALSE)</f>
        <v>TS0071</v>
      </c>
      <c r="B72" t="str">
        <f>IF(COUNTBLANK(Timetable_Schedule!B72)=0,Timetable_Schedule!B72,"Unknown")</f>
        <v>Tuesday</v>
      </c>
      <c r="C72" t="str">
        <f>VLOOKUP(A72,Timetable_Schedule!A71:L177,3,FALSE)</f>
        <v>4:00-5:00</v>
      </c>
      <c r="D72" t="str">
        <f>IF(COUNTBLANK(Timetable_Schedule!D72)=0,Timetable_Schedule!D72,"Unknown")</f>
        <v>ME</v>
      </c>
      <c r="E72" t="str">
        <f>VLOOKUP(A72,Timetable_Schedule!A71:L177,5,FALSE)</f>
        <v>ME119</v>
      </c>
      <c r="F72" t="str">
        <f>VLOOKUP(A72,Timetable_Schedule!A71:L177,6,FALSE)</f>
        <v>Compiler Design</v>
      </c>
      <c r="G72" t="str">
        <f>VLOOKUP(A72,Timetable_Schedule!A71:L177,7,FALSE)</f>
        <v>FAC1022</v>
      </c>
      <c r="H72">
        <f>VLOOKUP(A72,Timetable_Schedule!A71:L177,8,FALSE)</f>
        <v>2</v>
      </c>
      <c r="I72" t="str">
        <f>VLOOKUP(A72,Timetable_Schedule!A71:L171,9,FALSE)</f>
        <v>A</v>
      </c>
      <c r="J72">
        <f>VLOOKUP(A72,Timetable_Schedule!A71:L177,10,FALSE)</f>
        <v>2</v>
      </c>
      <c r="K72" t="str">
        <f>VLOOKUP(A72,Timetable_Schedule!A71:L177,11,FALSE)</f>
        <v>Yes</v>
      </c>
    </row>
    <row r="73" spans="1:11" x14ac:dyDescent="0.3">
      <c r="A73" s="2" t="str">
        <f>VLOOKUP(Timetable_Schedule!A73,Timetable_Schedule!A72:L178,1,FALSE)</f>
        <v>TS0072</v>
      </c>
      <c r="B73" t="str">
        <f>IF(COUNTBLANK(Timetable_Schedule!B73)=0,Timetable_Schedule!B73,"Unknown")</f>
        <v>Thursday</v>
      </c>
      <c r="C73" t="str">
        <f>VLOOKUP(A73,Timetable_Schedule!A72:L178,3,FALSE)</f>
        <v>12:00-1:00</v>
      </c>
      <c r="D73" t="str">
        <f>IF(COUNTBLANK(Timetable_Schedule!D73)=0,Timetable_Schedule!D73,"Unknown")</f>
        <v>MCA</v>
      </c>
      <c r="E73" t="str">
        <f>VLOOKUP(A73,Timetable_Schedule!A72:L178,5,FALSE)</f>
        <v>MC111</v>
      </c>
      <c r="F73" t="str">
        <f>VLOOKUP(A73,Timetable_Schedule!A72:L178,6,FALSE)</f>
        <v>Cloud Computing</v>
      </c>
      <c r="G73" t="str">
        <f>VLOOKUP(A73,Timetable_Schedule!A72:L178,7,FALSE)</f>
        <v>FAC1040</v>
      </c>
      <c r="H73">
        <f>VLOOKUP(A73,Timetable_Schedule!A72:L178,8,FALSE)</f>
        <v>6</v>
      </c>
      <c r="I73" t="str">
        <f>VLOOKUP(A73,Timetable_Schedule!A72:L172,9,FALSE)</f>
        <v>A</v>
      </c>
      <c r="J73">
        <f>VLOOKUP(A73,Timetable_Schedule!A72:L178,10,FALSE)</f>
        <v>2</v>
      </c>
      <c r="K73" t="str">
        <f>VLOOKUP(A73,Timetable_Schedule!A72:L178,11,FALSE)</f>
        <v>Yes</v>
      </c>
    </row>
    <row r="74" spans="1:11" x14ac:dyDescent="0.3">
      <c r="A74" s="2" t="str">
        <f>VLOOKUP(Timetable_Schedule!A74,Timetable_Schedule!A73:L179,1,FALSE)</f>
        <v>TS0073</v>
      </c>
      <c r="B74" t="str">
        <f>IF(COUNTBLANK(Timetable_Schedule!B74)=0,Timetable_Schedule!B74,"Unknown")</f>
        <v>Tuesday</v>
      </c>
      <c r="C74" t="str">
        <f>VLOOKUP(A74,Timetable_Schedule!A73:L179,3,FALSE)</f>
        <v>12:00-1:00</v>
      </c>
      <c r="D74" t="str">
        <f>IF(COUNTBLANK(Timetable_Schedule!D74)=0,Timetable_Schedule!D74,"Unknown")</f>
        <v>CSE</v>
      </c>
      <c r="E74" t="str">
        <f>VLOOKUP(A74,Timetable_Schedule!A73:L179,5,FALSE)</f>
        <v>CS108</v>
      </c>
      <c r="F74" t="str">
        <f>VLOOKUP(A74,Timetable_Schedule!A73:L179,6,FALSE)</f>
        <v>Robotics</v>
      </c>
      <c r="G74" t="str">
        <f>VLOOKUP(A74,Timetable_Schedule!A73:L179,7,FALSE)</f>
        <v>FAC1048</v>
      </c>
      <c r="H74">
        <f>VLOOKUP(A74,Timetable_Schedule!A73:L179,8,FALSE)</f>
        <v>2</v>
      </c>
      <c r="I74" t="str">
        <f>VLOOKUP(A74,Timetable_Schedule!A73:L173,9,FALSE)</f>
        <v>A</v>
      </c>
      <c r="J74">
        <f>VLOOKUP(A74,Timetable_Schedule!A73:L179,10,FALSE)</f>
        <v>2</v>
      </c>
      <c r="K74" t="str">
        <f>VLOOKUP(A74,Timetable_Schedule!A73:L179,11,FALSE)</f>
        <v>Yes</v>
      </c>
    </row>
    <row r="75" spans="1:11" x14ac:dyDescent="0.3">
      <c r="A75" s="2" t="str">
        <f>VLOOKUP(Timetable_Schedule!A75,Timetable_Schedule!A74:L180,1,FALSE)</f>
        <v>TS0074</v>
      </c>
      <c r="B75" t="str">
        <f>IF(COUNTBLANK(Timetable_Schedule!B75)=0,Timetable_Schedule!B75,"Unknown")</f>
        <v>Wednesday</v>
      </c>
      <c r="C75" t="str">
        <f>VLOOKUP(A75,Timetable_Schedule!A74:L180,3,FALSE)</f>
        <v>8:00-9:00</v>
      </c>
      <c r="D75" t="str">
        <f>IF(COUNTBLANK(Timetable_Schedule!D75)=0,Timetable_Schedule!D75,"Unknown")</f>
        <v>EEE</v>
      </c>
      <c r="E75" t="str">
        <f>VLOOKUP(A75,Timetable_Schedule!A74:L180,5,FALSE)</f>
        <v>EE110</v>
      </c>
      <c r="F75" t="str">
        <f>VLOOKUP(A75,Timetable_Schedule!A74:L180,6,FALSE)</f>
        <v>Algorithms</v>
      </c>
      <c r="G75" t="str">
        <f>VLOOKUP(A75,Timetable_Schedule!A74:L180,7,FALSE)</f>
        <v>FAC1023</v>
      </c>
      <c r="H75">
        <f>VLOOKUP(A75,Timetable_Schedule!A74:L180,8,FALSE)</f>
        <v>3</v>
      </c>
      <c r="I75" t="str">
        <f>VLOOKUP(A75,Timetable_Schedule!A74:L174,9,FALSE)</f>
        <v>A</v>
      </c>
      <c r="J75">
        <f>VLOOKUP(A75,Timetable_Schedule!A74:L180,10,FALSE)</f>
        <v>2</v>
      </c>
      <c r="K75" t="str">
        <f>VLOOKUP(A75,Timetable_Schedule!A74:L180,11,FALSE)</f>
        <v>Yes</v>
      </c>
    </row>
    <row r="76" spans="1:11" x14ac:dyDescent="0.3">
      <c r="A76" s="2" t="str">
        <f>VLOOKUP(Timetable_Schedule!A76,Timetable_Schedule!A75:L181,1,FALSE)</f>
        <v>TS0075</v>
      </c>
      <c r="B76" t="str">
        <f>IF(COUNTBLANK(Timetable_Schedule!B76)=0,Timetable_Schedule!B76,"Unknown")</f>
        <v>Friday</v>
      </c>
      <c r="C76" t="str">
        <f>VLOOKUP(A76,Timetable_Schedule!A75:L181,3,FALSE)</f>
        <v>2:00-3:00</v>
      </c>
      <c r="D76" t="str">
        <f>IF(COUNTBLANK(Timetable_Schedule!D76)=0,Timetable_Schedule!D76,"Unknown")</f>
        <v>ME</v>
      </c>
      <c r="E76" t="str">
        <f>VLOOKUP(A76,Timetable_Schedule!A75:L181,5,FALSE)</f>
        <v>ME120</v>
      </c>
      <c r="F76" t="str">
        <f>VLOOKUP(A76,Timetable_Schedule!A75:L181,6,FALSE)</f>
        <v>Signals &amp; Systems</v>
      </c>
      <c r="G76" t="str">
        <f>VLOOKUP(A76,Timetable_Schedule!A75:L181,7,FALSE)</f>
        <v>FAC1044</v>
      </c>
      <c r="H76">
        <f>VLOOKUP(A76,Timetable_Schedule!A75:L181,8,FALSE)</f>
        <v>3</v>
      </c>
      <c r="I76" t="str">
        <f>VLOOKUP(A76,Timetable_Schedule!A75:L175,9,FALSE)</f>
        <v>A</v>
      </c>
      <c r="J76">
        <f>VLOOKUP(A76,Timetable_Schedule!A75:L181,10,FALSE)</f>
        <v>2</v>
      </c>
      <c r="K76" t="str">
        <f>VLOOKUP(A76,Timetable_Schedule!A75:L181,11,FALSE)</f>
        <v>Yes</v>
      </c>
    </row>
    <row r="77" spans="1:11" x14ac:dyDescent="0.3">
      <c r="A77" s="2" t="str">
        <f>VLOOKUP(Timetable_Schedule!A77,Timetable_Schedule!A76:L182,1,FALSE)</f>
        <v>TS0076</v>
      </c>
      <c r="B77" t="str">
        <f>IF(COUNTBLANK(Timetable_Schedule!B77)=0,Timetable_Schedule!B77,"Unknown")</f>
        <v>Thursday</v>
      </c>
      <c r="C77" t="str">
        <f>VLOOKUP(A77,Timetable_Schedule!A76:L182,3,FALSE)</f>
        <v>12:00-1:00</v>
      </c>
      <c r="D77" t="str">
        <f>IF(COUNTBLANK(Timetable_Schedule!D77)=0,Timetable_Schedule!D77,"Unknown")</f>
        <v>MBA</v>
      </c>
      <c r="E77" t="str">
        <f>VLOOKUP(A77,Timetable_Schedule!A76:L182,5,FALSE)</f>
        <v>MB122</v>
      </c>
      <c r="F77" t="str">
        <f>VLOOKUP(A77,Timetable_Schedule!A76:L182,6,FALSE)</f>
        <v>Fluid Mechanics</v>
      </c>
      <c r="G77" t="str">
        <f>VLOOKUP(A77,Timetable_Schedule!A76:L182,7,FALSE)</f>
        <v>FAC1035</v>
      </c>
      <c r="H77">
        <f>VLOOKUP(A77,Timetable_Schedule!A76:L182,8,FALSE)</f>
        <v>8</v>
      </c>
      <c r="I77" t="str">
        <f>VLOOKUP(A77,Timetable_Schedule!A76:L176,9,FALSE)</f>
        <v>A</v>
      </c>
      <c r="J77">
        <f>VLOOKUP(A77,Timetable_Schedule!A76:L182,10,FALSE)</f>
        <v>2</v>
      </c>
      <c r="K77" t="str">
        <f>VLOOKUP(A77,Timetable_Schedule!A76:L182,11,FALSE)</f>
        <v>Yes</v>
      </c>
    </row>
    <row r="78" spans="1:11" x14ac:dyDescent="0.3">
      <c r="A78" s="2" t="str">
        <f>VLOOKUP(Timetable_Schedule!A78,Timetable_Schedule!A77:L183,1,FALSE)</f>
        <v>TS0077</v>
      </c>
      <c r="B78" t="str">
        <f>IF(COUNTBLANK(Timetable_Schedule!B78)=0,Timetable_Schedule!B78,"Unknown")</f>
        <v>Tuesday</v>
      </c>
      <c r="C78" t="str">
        <f>VLOOKUP(A78,Timetable_Schedule!A77:L183,3,FALSE)</f>
        <v>2:00-3:00</v>
      </c>
      <c r="D78" t="str">
        <f>IF(COUNTBLANK(Timetable_Schedule!D78)=0,Timetable_Schedule!D78,"Unknown")</f>
        <v>EEE</v>
      </c>
      <c r="E78" t="str">
        <f>VLOOKUP(A78,Timetable_Schedule!A77:L183,5,FALSE)</f>
        <v>EE128</v>
      </c>
      <c r="F78" t="str">
        <f>VLOOKUP(A78,Timetable_Schedule!A77:L183,6,FALSE)</f>
        <v>Cybersecurity</v>
      </c>
      <c r="G78" t="str">
        <f>VLOOKUP(A78,Timetable_Schedule!A77:L183,7,FALSE)</f>
        <v>FAC1031</v>
      </c>
      <c r="H78">
        <f>VLOOKUP(A78,Timetable_Schedule!A77:L183,8,FALSE)</f>
        <v>6</v>
      </c>
      <c r="I78" t="str">
        <f>VLOOKUP(A78,Timetable_Schedule!A77:L177,9,FALSE)</f>
        <v>A</v>
      </c>
      <c r="J78">
        <f>VLOOKUP(A78,Timetable_Schedule!A77:L183,10,FALSE)</f>
        <v>1</v>
      </c>
      <c r="K78" t="str">
        <f>VLOOKUP(A78,Timetable_Schedule!A77:L183,11,FALSE)</f>
        <v>No</v>
      </c>
    </row>
    <row r="79" spans="1:11" x14ac:dyDescent="0.3">
      <c r="A79" s="2" t="str">
        <f>VLOOKUP(Timetable_Schedule!A79,Timetable_Schedule!A78:L184,1,FALSE)</f>
        <v>TS0078</v>
      </c>
      <c r="B79" t="str">
        <f>IF(COUNTBLANK(Timetable_Schedule!B79)=0,Timetable_Schedule!B79,"Unknown")</f>
        <v>Friday</v>
      </c>
      <c r="C79" t="str">
        <f>VLOOKUP(A79,Timetable_Schedule!A78:L184,3,FALSE)</f>
        <v>8:00-9:00</v>
      </c>
      <c r="D79" t="str">
        <f>IF(COUNTBLANK(Timetable_Schedule!D79)=0,Timetable_Schedule!D79,"Unknown")</f>
        <v>MCA</v>
      </c>
      <c r="E79" t="str">
        <f>VLOOKUP(A79,Timetable_Schedule!A78:L184,5,FALSE)</f>
        <v>MC130</v>
      </c>
      <c r="F79" t="str">
        <f>VLOOKUP(A79,Timetable_Schedule!A78:L184,6,FALSE)</f>
        <v>Machine Design</v>
      </c>
      <c r="G79" t="str">
        <f>VLOOKUP(A79,Timetable_Schedule!A78:L184,7,FALSE)</f>
        <v>FAC1039</v>
      </c>
      <c r="H79">
        <f>VLOOKUP(A79,Timetable_Schedule!A78:L184,8,FALSE)</f>
        <v>4</v>
      </c>
      <c r="I79" t="str">
        <f>VLOOKUP(A79,Timetable_Schedule!A78:L178,9,FALSE)</f>
        <v>A</v>
      </c>
      <c r="J79">
        <f>VLOOKUP(A79,Timetable_Schedule!A78:L184,10,FALSE)</f>
        <v>2</v>
      </c>
      <c r="K79" t="str">
        <f>VLOOKUP(A79,Timetable_Schedule!A78:L184,11,FALSE)</f>
        <v>Yes</v>
      </c>
    </row>
    <row r="80" spans="1:11" x14ac:dyDescent="0.3">
      <c r="A80" s="2" t="str">
        <f>VLOOKUP(Timetable_Schedule!A80,Timetable_Schedule!A79:L185,1,FALSE)</f>
        <v>TS0079</v>
      </c>
      <c r="B80" t="str">
        <f>IF(COUNTBLANK(Timetable_Schedule!B80)=0,Timetable_Schedule!B80,"Unknown")</f>
        <v>Saturday</v>
      </c>
      <c r="C80" t="str">
        <f>VLOOKUP(A80,Timetable_Schedule!A79:L185,3,FALSE)</f>
        <v>8:00-9:00</v>
      </c>
      <c r="D80" t="str">
        <f>IF(COUNTBLANK(Timetable_Schedule!D80)=0,Timetable_Schedule!D80,"Unknown")</f>
        <v>EEE</v>
      </c>
      <c r="E80" t="str">
        <f>VLOOKUP(A80,Timetable_Schedule!A79:L185,5,FALSE)</f>
        <v>EE110</v>
      </c>
      <c r="F80" t="str">
        <f>VLOOKUP(A80,Timetable_Schedule!A79:L185,6,FALSE)</f>
        <v>Web Technology</v>
      </c>
      <c r="G80" t="str">
        <f>VLOOKUP(A80,Timetable_Schedule!A79:L185,7,FALSE)</f>
        <v>FAC1029</v>
      </c>
      <c r="H80">
        <f>VLOOKUP(A80,Timetable_Schedule!A79:L185,8,FALSE)</f>
        <v>3</v>
      </c>
      <c r="I80" t="str">
        <f>VLOOKUP(A80,Timetable_Schedule!A79:L179,9,FALSE)</f>
        <v>A</v>
      </c>
      <c r="J80">
        <f>VLOOKUP(A80,Timetable_Schedule!A79:L185,10,FALSE)</f>
        <v>2</v>
      </c>
      <c r="K80" t="str">
        <f>VLOOKUP(A80,Timetable_Schedule!A79:L185,11,FALSE)</f>
        <v>Yes</v>
      </c>
    </row>
    <row r="81" spans="1:11" x14ac:dyDescent="0.3">
      <c r="A81" s="2" t="str">
        <f>VLOOKUP(Timetable_Schedule!A81,Timetable_Schedule!A80:L186,1,FALSE)</f>
        <v>TS0080</v>
      </c>
      <c r="B81" t="str">
        <f>IF(COUNTBLANK(Timetable_Schedule!B81)=0,Timetable_Schedule!B81,"Unknown")</f>
        <v>Tuesday</v>
      </c>
      <c r="C81" t="str">
        <f>VLOOKUP(A81,Timetable_Schedule!A80:L186,3,FALSE)</f>
        <v>4:00-5:00</v>
      </c>
      <c r="D81" t="str">
        <f>IF(COUNTBLANK(Timetable_Schedule!D81)=0,Timetable_Schedule!D81,"Unknown")</f>
        <v>MCA</v>
      </c>
      <c r="E81" t="str">
        <f>VLOOKUP(A81,Timetable_Schedule!A80:L186,5,FALSE)</f>
        <v>MC129</v>
      </c>
      <c r="F81" t="str">
        <f>VLOOKUP(A81,Timetable_Schedule!A80:L186,6,FALSE)</f>
        <v>Signals &amp; Systems</v>
      </c>
      <c r="G81" t="str">
        <f>VLOOKUP(A81,Timetable_Schedule!A80:L186,7,FALSE)</f>
        <v>FAC1024</v>
      </c>
      <c r="H81">
        <f>VLOOKUP(A81,Timetable_Schedule!A80:L186,8,FALSE)</f>
        <v>3</v>
      </c>
      <c r="I81" t="str">
        <f>VLOOKUP(A81,Timetable_Schedule!A80:L180,9,FALSE)</f>
        <v>A</v>
      </c>
      <c r="J81">
        <f>VLOOKUP(A81,Timetable_Schedule!A80:L186,10,FALSE)</f>
        <v>2</v>
      </c>
      <c r="K81" t="str">
        <f>VLOOKUP(A81,Timetable_Schedule!A80:L186,11,FALSE)</f>
        <v>Yes</v>
      </c>
    </row>
    <row r="82" spans="1:11" x14ac:dyDescent="0.3">
      <c r="A82" s="2" t="str">
        <f>VLOOKUP(Timetable_Schedule!A82,Timetable_Schedule!A81:L187,1,FALSE)</f>
        <v>TS0081</v>
      </c>
      <c r="B82" t="str">
        <f>IF(COUNTBLANK(Timetable_Schedule!B82)=0,Timetable_Schedule!B82,"Unknown")</f>
        <v>Monday</v>
      </c>
      <c r="C82" t="str">
        <f>VLOOKUP(A82,Timetable_Schedule!A81:L187,3,FALSE)</f>
        <v>10:00-11:00</v>
      </c>
      <c r="D82" t="str">
        <f>IF(COUNTBLANK(Timetable_Schedule!D82)=0,Timetable_Schedule!D82,"Unknown")</f>
        <v>IT</v>
      </c>
      <c r="E82" t="str">
        <f>VLOOKUP(A82,Timetable_Schedule!A81:L187,5,FALSE)</f>
        <v>IT125</v>
      </c>
      <c r="F82" t="str">
        <f>VLOOKUP(A82,Timetable_Schedule!A81:L187,6,FALSE)</f>
        <v>Software Engineering</v>
      </c>
      <c r="G82" t="str">
        <f>VLOOKUP(A82,Timetable_Schedule!A81:L187,7,FALSE)</f>
        <v>FAC1015</v>
      </c>
      <c r="H82">
        <f>VLOOKUP(A82,Timetable_Schedule!A81:L187,8,FALSE)</f>
        <v>7</v>
      </c>
      <c r="I82" t="str">
        <f>VLOOKUP(A82,Timetable_Schedule!A81:L181,9,FALSE)</f>
        <v>A</v>
      </c>
      <c r="J82">
        <f>VLOOKUP(A82,Timetable_Schedule!A81:L187,10,FALSE)</f>
        <v>1</v>
      </c>
      <c r="K82" t="str">
        <f>VLOOKUP(A82,Timetable_Schedule!A81:L187,11,FALSE)</f>
        <v>No</v>
      </c>
    </row>
    <row r="83" spans="1:11" x14ac:dyDescent="0.3">
      <c r="A83" s="2" t="str">
        <f>VLOOKUP(Timetable_Schedule!A83,Timetable_Schedule!A82:L188,1,FALSE)</f>
        <v>TS0082</v>
      </c>
      <c r="B83" t="str">
        <f>IF(COUNTBLANK(Timetable_Schedule!B83)=0,Timetable_Schedule!B83,"Unknown")</f>
        <v>Friday</v>
      </c>
      <c r="C83" t="str">
        <f>VLOOKUP(A83,Timetable_Schedule!A82:L188,3,FALSE)</f>
        <v>2:00-3:00</v>
      </c>
      <c r="D83" t="str">
        <f>IF(COUNTBLANK(Timetable_Schedule!D83)=0,Timetable_Schedule!D83,"Unknown")</f>
        <v>MBA</v>
      </c>
      <c r="E83" t="str">
        <f>VLOOKUP(A83,Timetable_Schedule!A82:L188,5,FALSE)</f>
        <v>MB127</v>
      </c>
      <c r="F83" t="str">
        <f>VLOOKUP(A83,Timetable_Schedule!A82:L188,6,FALSE)</f>
        <v>Communication Skills</v>
      </c>
      <c r="G83" t="str">
        <f>VLOOKUP(A83,Timetable_Schedule!A82:L188,7,FALSE)</f>
        <v>FAC1041</v>
      </c>
      <c r="H83">
        <f>VLOOKUP(A83,Timetable_Schedule!A82:L188,8,FALSE)</f>
        <v>8</v>
      </c>
      <c r="I83" t="str">
        <f>VLOOKUP(A83,Timetable_Schedule!A82:L182,9,FALSE)</f>
        <v>A</v>
      </c>
      <c r="J83">
        <f>VLOOKUP(A83,Timetable_Schedule!A82:L188,10,FALSE)</f>
        <v>1</v>
      </c>
      <c r="K83" t="str">
        <f>VLOOKUP(A83,Timetable_Schedule!A82:L188,11,FALSE)</f>
        <v>No</v>
      </c>
    </row>
    <row r="84" spans="1:11" x14ac:dyDescent="0.3">
      <c r="A84" s="2" t="str">
        <f>VLOOKUP(Timetable_Schedule!A84,Timetable_Schedule!A83:L189,1,FALSE)</f>
        <v>TS0083</v>
      </c>
      <c r="B84" t="str">
        <f>IF(COUNTBLANK(Timetable_Schedule!B84)=0,Timetable_Schedule!B84,"Unknown")</f>
        <v>Saturday</v>
      </c>
      <c r="C84" t="str">
        <f>VLOOKUP(A84,Timetable_Schedule!A83:L189,3,FALSE)</f>
        <v>2:00-3:00</v>
      </c>
      <c r="D84" t="str">
        <f>IF(COUNTBLANK(Timetable_Schedule!D84)=0,Timetable_Schedule!D84,"Unknown")</f>
        <v>ECE</v>
      </c>
      <c r="E84" t="str">
        <f>VLOOKUP(A84,Timetable_Schedule!A83:L189,5,FALSE)</f>
        <v>EC104</v>
      </c>
      <c r="F84" t="str">
        <f>VLOOKUP(A84,Timetable_Schedule!A83:L189,6,FALSE)</f>
        <v>Cybersecurity</v>
      </c>
      <c r="G84" t="str">
        <f>VLOOKUP(A84,Timetable_Schedule!A83:L189,7,FALSE)</f>
        <v>FAC1009</v>
      </c>
      <c r="H84">
        <f>VLOOKUP(A84,Timetable_Schedule!A83:L189,8,FALSE)</f>
        <v>8</v>
      </c>
      <c r="I84" t="str">
        <f>VLOOKUP(A84,Timetable_Schedule!A83:L183,9,FALSE)</f>
        <v>A</v>
      </c>
      <c r="J84">
        <f>VLOOKUP(A84,Timetable_Schedule!A83:L189,10,FALSE)</f>
        <v>1</v>
      </c>
      <c r="K84" t="str">
        <f>VLOOKUP(A84,Timetable_Schedule!A83:L189,11,FALSE)</f>
        <v>No</v>
      </c>
    </row>
    <row r="85" spans="1:11" x14ac:dyDescent="0.3">
      <c r="A85" s="2" t="str">
        <f>VLOOKUP(Timetable_Schedule!A85,Timetable_Schedule!A84:L190,1,FALSE)</f>
        <v>TS0084</v>
      </c>
      <c r="B85" t="str">
        <f>IF(COUNTBLANK(Timetable_Schedule!B85)=0,Timetable_Schedule!B85,"Unknown")</f>
        <v>Wednesday</v>
      </c>
      <c r="C85" t="str">
        <f>VLOOKUP(A85,Timetable_Schedule!A84:L190,3,FALSE)</f>
        <v>4:00-5:00</v>
      </c>
      <c r="D85" t="str">
        <f>IF(COUNTBLANK(Timetable_Schedule!D85)=0,Timetable_Schedule!D85,"Unknown")</f>
        <v>ME</v>
      </c>
      <c r="E85" t="str">
        <f>VLOOKUP(A85,Timetable_Schedule!A84:L190,5,FALSE)</f>
        <v>ME114</v>
      </c>
      <c r="F85" t="str">
        <f>VLOOKUP(A85,Timetable_Schedule!A84:L190,6,FALSE)</f>
        <v>Technical Writing</v>
      </c>
      <c r="G85" t="str">
        <f>VLOOKUP(A85,Timetable_Schedule!A84:L190,7,FALSE)</f>
        <v>FAC1038</v>
      </c>
      <c r="H85">
        <f>VLOOKUP(A85,Timetable_Schedule!A84:L190,8,FALSE)</f>
        <v>8</v>
      </c>
      <c r="I85" t="str">
        <f>VLOOKUP(A85,Timetable_Schedule!A84:L184,9,FALSE)</f>
        <v>A</v>
      </c>
      <c r="J85">
        <f>VLOOKUP(A85,Timetable_Schedule!A84:L190,10,FALSE)</f>
        <v>1</v>
      </c>
      <c r="K85" t="str">
        <f>VLOOKUP(A85,Timetable_Schedule!A84:L190,11,FALSE)</f>
        <v>No</v>
      </c>
    </row>
    <row r="86" spans="1:11" x14ac:dyDescent="0.3">
      <c r="A86" s="2" t="str">
        <f>VLOOKUP(Timetable_Schedule!A86,Timetable_Schedule!A85:L191,1,FALSE)</f>
        <v>TS0085</v>
      </c>
      <c r="B86" t="str">
        <f>IF(COUNTBLANK(Timetable_Schedule!B86)=0,Timetable_Schedule!B86,"Unknown")</f>
        <v>Thursday</v>
      </c>
      <c r="C86" t="str">
        <f>VLOOKUP(A86,Timetable_Schedule!A85:L191,3,FALSE)</f>
        <v>11:00-12:00</v>
      </c>
      <c r="D86" t="str">
        <f>IF(COUNTBLANK(Timetable_Schedule!D86)=0,Timetable_Schedule!D86,"Unknown")</f>
        <v>IT</v>
      </c>
      <c r="E86" t="str">
        <f>VLOOKUP(A86,Timetable_Schedule!A85:L191,5,FALSE)</f>
        <v>IT128</v>
      </c>
      <c r="F86" t="str">
        <f>VLOOKUP(A86,Timetable_Schedule!A85:L191,6,FALSE)</f>
        <v>Microprocessors</v>
      </c>
      <c r="G86" t="str">
        <f>VLOOKUP(A86,Timetable_Schedule!A85:L191,7,FALSE)</f>
        <v>FAC1024</v>
      </c>
      <c r="H86">
        <f>VLOOKUP(A86,Timetable_Schedule!A85:L191,8,FALSE)</f>
        <v>1</v>
      </c>
      <c r="I86" t="str">
        <f>VLOOKUP(A86,Timetable_Schedule!A85:L185,9,FALSE)</f>
        <v>A</v>
      </c>
      <c r="J86">
        <f>VLOOKUP(A86,Timetable_Schedule!A85:L191,10,FALSE)</f>
        <v>1</v>
      </c>
      <c r="K86" t="str">
        <f>VLOOKUP(A86,Timetable_Schedule!A85:L191,11,FALSE)</f>
        <v>No</v>
      </c>
    </row>
    <row r="87" spans="1:11" x14ac:dyDescent="0.3">
      <c r="A87" s="2" t="str">
        <f>VLOOKUP(Timetable_Schedule!A87,Timetable_Schedule!A86:L192,1,FALSE)</f>
        <v>TS0086</v>
      </c>
      <c r="B87" t="str">
        <f>IF(COUNTBLANK(Timetable_Schedule!B87)=0,Timetable_Schedule!B87,"Unknown")</f>
        <v>Saturday</v>
      </c>
      <c r="C87" t="str">
        <f>VLOOKUP(A87,Timetable_Schedule!A86:L192,3,FALSE)</f>
        <v>11:00-12:00</v>
      </c>
      <c r="D87" t="str">
        <f>IF(COUNTBLANK(Timetable_Schedule!D87)=0,Timetable_Schedule!D87,"Unknown")</f>
        <v>ECE</v>
      </c>
      <c r="E87" t="str">
        <f>VLOOKUP(A87,Timetable_Schedule!A86:L192,5,FALSE)</f>
        <v>EC121</v>
      </c>
      <c r="F87" t="str">
        <f>VLOOKUP(A87,Timetable_Schedule!A86:L192,6,FALSE)</f>
        <v>Cybersecurity</v>
      </c>
      <c r="G87" t="str">
        <f>VLOOKUP(A87,Timetable_Schedule!A86:L192,7,FALSE)</f>
        <v>FAC1041</v>
      </c>
      <c r="H87">
        <f>VLOOKUP(A87,Timetable_Schedule!A86:L192,8,FALSE)</f>
        <v>1</v>
      </c>
      <c r="I87" t="str">
        <f>VLOOKUP(A87,Timetable_Schedule!A86:L186,9,FALSE)</f>
        <v>A</v>
      </c>
      <c r="J87">
        <f>VLOOKUP(A87,Timetable_Schedule!A86:L192,10,FALSE)</f>
        <v>2</v>
      </c>
      <c r="K87" t="str">
        <f>VLOOKUP(A87,Timetable_Schedule!A86:L192,11,FALSE)</f>
        <v>Yes</v>
      </c>
    </row>
    <row r="88" spans="1:11" x14ac:dyDescent="0.3">
      <c r="A88" s="2" t="str">
        <f>VLOOKUP(Timetable_Schedule!A88,Timetable_Schedule!A87:L193,1,FALSE)</f>
        <v>TS0087</v>
      </c>
      <c r="B88" t="str">
        <f>IF(COUNTBLANK(Timetable_Schedule!B88)=0,Timetable_Schedule!B88,"Unknown")</f>
        <v>Friday</v>
      </c>
      <c r="C88" t="str">
        <f>VLOOKUP(A88,Timetable_Schedule!A87:L193,3,FALSE)</f>
        <v>11:00-12:00</v>
      </c>
      <c r="D88" t="str">
        <f>IF(COUNTBLANK(Timetable_Schedule!D88)=0,Timetable_Schedule!D88,"Unknown")</f>
        <v>CE</v>
      </c>
      <c r="E88" t="str">
        <f>VLOOKUP(A88,Timetable_Schedule!A87:L193,5,FALSE)</f>
        <v>CE127</v>
      </c>
      <c r="F88" t="str">
        <f>VLOOKUP(A88,Timetable_Schedule!A87:L193,6,FALSE)</f>
        <v>Computer Networks</v>
      </c>
      <c r="G88" t="str">
        <f>VLOOKUP(A88,Timetable_Schedule!A87:L193,7,FALSE)</f>
        <v>FAC1015</v>
      </c>
      <c r="H88">
        <f>VLOOKUP(A88,Timetable_Schedule!A87:L193,8,FALSE)</f>
        <v>1</v>
      </c>
      <c r="I88" t="str">
        <f>VLOOKUP(A88,Timetable_Schedule!A87:L187,9,FALSE)</f>
        <v>A</v>
      </c>
      <c r="J88">
        <f>VLOOKUP(A88,Timetable_Schedule!A87:L193,10,FALSE)</f>
        <v>2</v>
      </c>
      <c r="K88" t="str">
        <f>VLOOKUP(A88,Timetable_Schedule!A87:L193,11,FALSE)</f>
        <v>Yes</v>
      </c>
    </row>
    <row r="89" spans="1:11" x14ac:dyDescent="0.3">
      <c r="A89" s="2" t="str">
        <f>VLOOKUP(Timetable_Schedule!A89,Timetable_Schedule!A88:L194,1,FALSE)</f>
        <v>TS0088</v>
      </c>
      <c r="B89" t="str">
        <f>IF(COUNTBLANK(Timetable_Schedule!B89)=0,Timetable_Schedule!B89,"Unknown")</f>
        <v>Saturday</v>
      </c>
      <c r="C89" t="str">
        <f>VLOOKUP(A89,Timetable_Schedule!A88:L194,3,FALSE)</f>
        <v>8:00-9:00</v>
      </c>
      <c r="D89" t="str">
        <f>IF(COUNTBLANK(Timetable_Schedule!D89)=0,Timetable_Schedule!D89,"Unknown")</f>
        <v>EEE</v>
      </c>
      <c r="E89" t="str">
        <f>VLOOKUP(A89,Timetable_Schedule!A88:L194,5,FALSE)</f>
        <v>EE105</v>
      </c>
      <c r="F89" t="str">
        <f>VLOOKUP(A89,Timetable_Schedule!A88:L194,6,FALSE)</f>
        <v>Signals &amp; Systems</v>
      </c>
      <c r="G89" t="str">
        <f>VLOOKUP(A89,Timetable_Schedule!A88:L194,7,FALSE)</f>
        <v>FAC1001</v>
      </c>
      <c r="H89">
        <f>VLOOKUP(A89,Timetable_Schedule!A88:L194,8,FALSE)</f>
        <v>6</v>
      </c>
      <c r="I89" t="str">
        <f>VLOOKUP(A89,Timetable_Schedule!A88:L188,9,FALSE)</f>
        <v>A</v>
      </c>
      <c r="J89">
        <f>VLOOKUP(A89,Timetable_Schedule!A88:L194,10,FALSE)</f>
        <v>2</v>
      </c>
      <c r="K89" t="str">
        <f>VLOOKUP(A89,Timetable_Schedule!A88:L194,11,FALSE)</f>
        <v>Yes</v>
      </c>
    </row>
    <row r="90" spans="1:11" x14ac:dyDescent="0.3">
      <c r="A90" s="2" t="str">
        <f>VLOOKUP(Timetable_Schedule!A90,Timetable_Schedule!A89:L195,1,FALSE)</f>
        <v>TS0089</v>
      </c>
      <c r="B90" t="str">
        <f>IF(COUNTBLANK(Timetable_Schedule!B90)=0,Timetable_Schedule!B90,"Unknown")</f>
        <v>Friday</v>
      </c>
      <c r="C90" t="str">
        <f>VLOOKUP(A90,Timetable_Schedule!A89:L195,3,FALSE)</f>
        <v>9:00-10:00</v>
      </c>
      <c r="D90" t="str">
        <f>IF(COUNTBLANK(Timetable_Schedule!D90)=0,Timetable_Schedule!D90,"Unknown")</f>
        <v>CSE</v>
      </c>
      <c r="E90" t="str">
        <f>VLOOKUP(A90,Timetable_Schedule!A89:L195,5,FALSE)</f>
        <v>CS124</v>
      </c>
      <c r="F90" t="str">
        <f>VLOOKUP(A90,Timetable_Schedule!A89:L195,6,FALSE)</f>
        <v>Web Technology</v>
      </c>
      <c r="G90" t="str">
        <f>VLOOKUP(A90,Timetable_Schedule!A89:L195,7,FALSE)</f>
        <v>FAC1005</v>
      </c>
      <c r="H90">
        <f>VLOOKUP(A90,Timetable_Schedule!A89:L195,8,FALSE)</f>
        <v>2</v>
      </c>
      <c r="I90" t="str">
        <f>VLOOKUP(A90,Timetable_Schedule!A89:L189,9,FALSE)</f>
        <v>A</v>
      </c>
      <c r="J90">
        <f>VLOOKUP(A90,Timetable_Schedule!A89:L195,10,FALSE)</f>
        <v>1</v>
      </c>
      <c r="K90" t="str">
        <f>VLOOKUP(A90,Timetable_Schedule!A89:L195,11,FALSE)</f>
        <v>No</v>
      </c>
    </row>
    <row r="91" spans="1:11" x14ac:dyDescent="0.3">
      <c r="A91" s="2" t="str">
        <f>VLOOKUP(Timetable_Schedule!A91,Timetable_Schedule!A90:L196,1,FALSE)</f>
        <v>TS0090</v>
      </c>
      <c r="B91" t="str">
        <f>IF(COUNTBLANK(Timetable_Schedule!B91)=0,Timetable_Schedule!B91,"Unknown")</f>
        <v>Monday</v>
      </c>
      <c r="C91" t="str">
        <f>VLOOKUP(A91,Timetable_Schedule!A90:L196,3,FALSE)</f>
        <v>3:00-4:00</v>
      </c>
      <c r="D91" t="str">
        <f>IF(COUNTBLANK(Timetable_Schedule!D91)=0,Timetable_Schedule!D91,"Unknown")</f>
        <v>EEE</v>
      </c>
      <c r="E91" t="str">
        <f>VLOOKUP(A91,Timetable_Schedule!A90:L196,5,FALSE)</f>
        <v>EE128</v>
      </c>
      <c r="F91" t="str">
        <f>VLOOKUP(A91,Timetable_Schedule!A90:L196,6,FALSE)</f>
        <v>Cybersecurity</v>
      </c>
      <c r="G91" t="str">
        <f>VLOOKUP(A91,Timetable_Schedule!A90:L196,7,FALSE)</f>
        <v>FAC1026</v>
      </c>
      <c r="H91">
        <f>VLOOKUP(A91,Timetable_Schedule!A90:L196,8,FALSE)</f>
        <v>8</v>
      </c>
      <c r="I91" t="str">
        <f>VLOOKUP(A91,Timetable_Schedule!A90:L190,9,FALSE)</f>
        <v>A</v>
      </c>
      <c r="J91">
        <f>VLOOKUP(A91,Timetable_Schedule!A90:L196,10,FALSE)</f>
        <v>2</v>
      </c>
      <c r="K91" t="str">
        <f>VLOOKUP(A91,Timetable_Schedule!A90:L196,11,FALSE)</f>
        <v>Yes</v>
      </c>
    </row>
    <row r="92" spans="1:11" x14ac:dyDescent="0.3">
      <c r="A92" s="2" t="str">
        <f>VLOOKUP(Timetable_Schedule!A92,Timetable_Schedule!A91:L197,1,FALSE)</f>
        <v>TS0091</v>
      </c>
      <c r="B92" t="str">
        <f>IF(COUNTBLANK(Timetable_Schedule!B92)=0,Timetable_Schedule!B92,"Unknown")</f>
        <v>Monday</v>
      </c>
      <c r="C92" t="str">
        <f>VLOOKUP(A92,Timetable_Schedule!A91:L197,3,FALSE)</f>
        <v>10:00-11:00</v>
      </c>
      <c r="D92" t="str">
        <f>IF(COUNTBLANK(Timetable_Schedule!D92)=0,Timetable_Schedule!D92,"Unknown")</f>
        <v>IT</v>
      </c>
      <c r="E92" t="str">
        <f>VLOOKUP(A92,Timetable_Schedule!A91:L197,5,FALSE)</f>
        <v>IT109</v>
      </c>
      <c r="F92" t="str">
        <f>VLOOKUP(A92,Timetable_Schedule!A91:L197,6,FALSE)</f>
        <v>Digital Signal Processing</v>
      </c>
      <c r="G92" t="str">
        <f>VLOOKUP(A92,Timetable_Schedule!A91:L197,7,FALSE)</f>
        <v>FAC1040</v>
      </c>
      <c r="H92">
        <f>VLOOKUP(A92,Timetable_Schedule!A91:L197,8,FALSE)</f>
        <v>7</v>
      </c>
      <c r="I92" t="str">
        <f>VLOOKUP(A92,Timetable_Schedule!A91:L191,9,FALSE)</f>
        <v>A</v>
      </c>
      <c r="J92">
        <f>VLOOKUP(A92,Timetable_Schedule!A91:L197,10,FALSE)</f>
        <v>2</v>
      </c>
      <c r="K92" t="str">
        <f>VLOOKUP(A92,Timetable_Schedule!A91:L197,11,FALSE)</f>
        <v>Yes</v>
      </c>
    </row>
    <row r="93" spans="1:11" x14ac:dyDescent="0.3">
      <c r="A93" s="2" t="str">
        <f>VLOOKUP(Timetable_Schedule!A93,Timetable_Schedule!A92:L198,1,FALSE)</f>
        <v>TS0092</v>
      </c>
      <c r="B93" t="str">
        <f>IF(COUNTBLANK(Timetable_Schedule!B93)=0,Timetable_Schedule!B93,"Unknown")</f>
        <v>Thursday</v>
      </c>
      <c r="C93" t="str">
        <f>VLOOKUP(A93,Timetable_Schedule!A92:L198,3,FALSE)</f>
        <v>3:00-4:00</v>
      </c>
      <c r="D93" t="str">
        <f>IF(COUNTBLANK(Timetable_Schedule!D93)=0,Timetable_Schedule!D93,"Unknown")</f>
        <v>ECE</v>
      </c>
      <c r="E93" t="str">
        <f>VLOOKUP(A93,Timetable_Schedule!A92:L198,5,FALSE)</f>
        <v>EC129</v>
      </c>
      <c r="F93" t="str">
        <f>VLOOKUP(A93,Timetable_Schedule!A92:L198,6,FALSE)</f>
        <v>Software Engineering</v>
      </c>
      <c r="G93" t="str">
        <f>VLOOKUP(A93,Timetable_Schedule!A92:L198,7,FALSE)</f>
        <v>FAC1015</v>
      </c>
      <c r="H93">
        <f>VLOOKUP(A93,Timetable_Schedule!A92:L198,8,FALSE)</f>
        <v>8</v>
      </c>
      <c r="I93" t="str">
        <f>VLOOKUP(A93,Timetable_Schedule!A92:L192,9,FALSE)</f>
        <v>A</v>
      </c>
      <c r="J93">
        <f>VLOOKUP(A93,Timetable_Schedule!A92:L198,10,FALSE)</f>
        <v>2</v>
      </c>
      <c r="K93" t="str">
        <f>VLOOKUP(A93,Timetable_Schedule!A92:L198,11,FALSE)</f>
        <v>Yes</v>
      </c>
    </row>
    <row r="94" spans="1:11" x14ac:dyDescent="0.3">
      <c r="A94" s="2" t="str">
        <f>VLOOKUP(Timetable_Schedule!A94,Timetable_Schedule!A93:L199,1,FALSE)</f>
        <v>TS0093</v>
      </c>
      <c r="B94" t="str">
        <f>IF(COUNTBLANK(Timetable_Schedule!B94)=0,Timetable_Schedule!B94,"Unknown")</f>
        <v>Saturday</v>
      </c>
      <c r="C94" t="str">
        <f>VLOOKUP(A94,Timetable_Schedule!A93:L199,3,FALSE)</f>
        <v>12:00-1:00</v>
      </c>
      <c r="D94" t="str">
        <f>IF(COUNTBLANK(Timetable_Schedule!D94)=0,Timetable_Schedule!D94,"Unknown")</f>
        <v>IT</v>
      </c>
      <c r="E94" t="str">
        <f>VLOOKUP(A94,Timetable_Schedule!A93:L199,5,FALSE)</f>
        <v>IT112</v>
      </c>
      <c r="F94" t="str">
        <f>VLOOKUP(A94,Timetable_Schedule!A93:L199,6,FALSE)</f>
        <v>C++</v>
      </c>
      <c r="G94" t="str">
        <f>VLOOKUP(A94,Timetable_Schedule!A93:L199,7,FALSE)</f>
        <v>FAC1010</v>
      </c>
      <c r="H94">
        <f>VLOOKUP(A94,Timetable_Schedule!A93:L199,8,FALSE)</f>
        <v>2</v>
      </c>
      <c r="I94" t="str">
        <f>VLOOKUP(A94,Timetable_Schedule!A93:L193,9,FALSE)</f>
        <v>A</v>
      </c>
      <c r="J94">
        <f>VLOOKUP(A94,Timetable_Schedule!A93:L199,10,FALSE)</f>
        <v>1</v>
      </c>
      <c r="K94" t="str">
        <f>VLOOKUP(A94,Timetable_Schedule!A93:L199,11,FALSE)</f>
        <v>No</v>
      </c>
    </row>
    <row r="95" spans="1:11" x14ac:dyDescent="0.3">
      <c r="A95" s="2" t="str">
        <f>VLOOKUP(Timetable_Schedule!A95,Timetable_Schedule!A94:L200,1,FALSE)</f>
        <v>TS0094</v>
      </c>
      <c r="B95" t="str">
        <f>IF(COUNTBLANK(Timetable_Schedule!B95)=0,Timetable_Schedule!B95,"Unknown")</f>
        <v>Friday</v>
      </c>
      <c r="C95" t="str">
        <f>VLOOKUP(A95,Timetable_Schedule!A94:L200,3,FALSE)</f>
        <v>4:00-5:00</v>
      </c>
      <c r="D95" t="str">
        <f>IF(COUNTBLANK(Timetable_Schedule!D95)=0,Timetable_Schedule!D95,"Unknown")</f>
        <v>IT</v>
      </c>
      <c r="E95" t="str">
        <f>VLOOKUP(A95,Timetable_Schedule!A94:L200,5,FALSE)</f>
        <v>IT118</v>
      </c>
      <c r="F95" t="str">
        <f>VLOOKUP(A95,Timetable_Schedule!A94:L200,6,FALSE)</f>
        <v>Web Technology</v>
      </c>
      <c r="G95" t="str">
        <f>VLOOKUP(A95,Timetable_Schedule!A94:L200,7,FALSE)</f>
        <v>FAC1022</v>
      </c>
      <c r="H95">
        <f>VLOOKUP(A95,Timetable_Schedule!A94:L200,8,FALSE)</f>
        <v>6</v>
      </c>
      <c r="I95" t="str">
        <f>VLOOKUP(A95,Timetable_Schedule!A94:L194,9,FALSE)</f>
        <v>A</v>
      </c>
      <c r="J95">
        <f>VLOOKUP(A95,Timetable_Schedule!A94:L200,10,FALSE)</f>
        <v>2</v>
      </c>
      <c r="K95" t="str">
        <f>VLOOKUP(A95,Timetable_Schedule!A94:L200,11,FALSE)</f>
        <v>Yes</v>
      </c>
    </row>
    <row r="96" spans="1:11" x14ac:dyDescent="0.3">
      <c r="A96" s="2" t="str">
        <f>VLOOKUP(Timetable_Schedule!A96,Timetable_Schedule!A95:L201,1,FALSE)</f>
        <v>TS0095</v>
      </c>
      <c r="B96" t="str">
        <f>IF(COUNTBLANK(Timetable_Schedule!B96)=0,Timetable_Schedule!B96,"Unknown")</f>
        <v>Friday</v>
      </c>
      <c r="C96" t="str">
        <f>VLOOKUP(A96,Timetable_Schedule!A95:L201,3,FALSE)</f>
        <v>4:00-5:00</v>
      </c>
      <c r="D96" t="str">
        <f>IF(COUNTBLANK(Timetable_Schedule!D96)=0,Timetable_Schedule!D96,"Unknown")</f>
        <v>EEE</v>
      </c>
      <c r="E96" t="str">
        <f>VLOOKUP(A96,Timetable_Schedule!A95:L201,5,FALSE)</f>
        <v>EE107</v>
      </c>
      <c r="F96" t="str">
        <f>VLOOKUP(A96,Timetable_Schedule!A95:L201,6,FALSE)</f>
        <v>Statistics</v>
      </c>
      <c r="G96" t="str">
        <f>VLOOKUP(A96,Timetable_Schedule!A95:L201,7,FALSE)</f>
        <v>FAC1010</v>
      </c>
      <c r="H96">
        <f>VLOOKUP(A96,Timetable_Schedule!A95:L201,8,FALSE)</f>
        <v>2</v>
      </c>
      <c r="I96" t="str">
        <f>VLOOKUP(A96,Timetable_Schedule!A95:L195,9,FALSE)</f>
        <v>A</v>
      </c>
      <c r="J96">
        <f>VLOOKUP(A96,Timetable_Schedule!A95:L201,10,FALSE)</f>
        <v>2</v>
      </c>
      <c r="K96" t="str">
        <f>VLOOKUP(A96,Timetable_Schedule!A95:L201,11,FALSE)</f>
        <v>Yes</v>
      </c>
    </row>
    <row r="97" spans="1:11" x14ac:dyDescent="0.3">
      <c r="A97" s="2" t="str">
        <f>VLOOKUP(Timetable_Schedule!A97,Timetable_Schedule!A96:L202,1,FALSE)</f>
        <v>TS0096</v>
      </c>
      <c r="B97" t="str">
        <f>IF(COUNTBLANK(Timetable_Schedule!B97)=0,Timetable_Schedule!B97,"Unknown")</f>
        <v>Thursday</v>
      </c>
      <c r="C97" t="str">
        <f>VLOOKUP(A97,Timetable_Schedule!A96:L202,3,FALSE)</f>
        <v>4:00-5:00</v>
      </c>
      <c r="D97" t="str">
        <f>IF(COUNTBLANK(Timetable_Schedule!D97)=0,Timetable_Schedule!D97,"Unknown")</f>
        <v>EEE</v>
      </c>
      <c r="E97" t="str">
        <f>VLOOKUP(A97,Timetable_Schedule!A96:L202,5,FALSE)</f>
        <v>EE125</v>
      </c>
      <c r="F97" t="str">
        <f>VLOOKUP(A97,Timetable_Schedule!A96:L202,6,FALSE)</f>
        <v>Control Systems</v>
      </c>
      <c r="G97" t="str">
        <f>VLOOKUP(A97,Timetable_Schedule!A96:L202,7,FALSE)</f>
        <v>FAC1040</v>
      </c>
      <c r="H97">
        <f>VLOOKUP(A97,Timetable_Schedule!A96:L202,8,FALSE)</f>
        <v>5</v>
      </c>
      <c r="I97" t="str">
        <f>VLOOKUP(A97,Timetable_Schedule!A96:L196,9,FALSE)</f>
        <v>A</v>
      </c>
      <c r="J97">
        <f>VLOOKUP(A97,Timetable_Schedule!A96:L202,10,FALSE)</f>
        <v>2</v>
      </c>
      <c r="K97" t="str">
        <f>VLOOKUP(A97,Timetable_Schedule!A96:L202,11,FALSE)</f>
        <v>Yes</v>
      </c>
    </row>
    <row r="98" spans="1:11" x14ac:dyDescent="0.3">
      <c r="A98" s="2" t="str">
        <f>VLOOKUP(Timetable_Schedule!A98,Timetable_Schedule!A97:L203,1,FALSE)</f>
        <v>TS0097</v>
      </c>
      <c r="B98" t="str">
        <f>IF(COUNTBLANK(Timetable_Schedule!B98)=0,Timetable_Schedule!B98,"Unknown")</f>
        <v>Monday</v>
      </c>
      <c r="C98" t="str">
        <f>VLOOKUP(A98,Timetable_Schedule!A97:L203,3,FALSE)</f>
        <v>10:00-11:00</v>
      </c>
      <c r="D98" t="str">
        <f>IF(COUNTBLANK(Timetable_Schedule!D98)=0,Timetable_Schedule!D98,"Unknown")</f>
        <v>EEE</v>
      </c>
      <c r="E98" t="str">
        <f>VLOOKUP(A98,Timetable_Schedule!A97:L203,5,FALSE)</f>
        <v>EE128</v>
      </c>
      <c r="F98" t="str">
        <f>VLOOKUP(A98,Timetable_Schedule!A97:L203,6,FALSE)</f>
        <v>Engineering Mathematics</v>
      </c>
      <c r="G98" t="str">
        <f>VLOOKUP(A98,Timetable_Schedule!A97:L203,7,FALSE)</f>
        <v>FAC1010</v>
      </c>
      <c r="H98">
        <f>VLOOKUP(A98,Timetable_Schedule!A97:L203,8,FALSE)</f>
        <v>3</v>
      </c>
      <c r="I98" t="str">
        <f>VLOOKUP(A98,Timetable_Schedule!A97:L197,9,FALSE)</f>
        <v>A</v>
      </c>
      <c r="J98">
        <f>VLOOKUP(A98,Timetable_Schedule!A97:L203,10,FALSE)</f>
        <v>1</v>
      </c>
      <c r="K98" t="str">
        <f>VLOOKUP(A98,Timetable_Schedule!A97:L203,11,FALSE)</f>
        <v>No</v>
      </c>
    </row>
    <row r="99" spans="1:11" x14ac:dyDescent="0.3">
      <c r="A99" s="2" t="str">
        <f>VLOOKUP(Timetable_Schedule!A99,Timetable_Schedule!A98:L204,1,FALSE)</f>
        <v>TS0098</v>
      </c>
      <c r="B99" t="str">
        <f>IF(COUNTBLANK(Timetable_Schedule!B99)=0,Timetable_Schedule!B99,"Unknown")</f>
        <v>Wednesday</v>
      </c>
      <c r="C99" t="str">
        <f>VLOOKUP(A99,Timetable_Schedule!A98:L204,3,FALSE)</f>
        <v>10:00-11:00</v>
      </c>
      <c r="D99" t="str">
        <f>IF(COUNTBLANK(Timetable_Schedule!D99)=0,Timetable_Schedule!D99,"Unknown")</f>
        <v>MCA</v>
      </c>
      <c r="E99" t="str">
        <f>VLOOKUP(A99,Timetable_Schedule!A98:L204,5,FALSE)</f>
        <v>MC112</v>
      </c>
      <c r="F99" t="str">
        <f>VLOOKUP(A99,Timetable_Schedule!A98:L204,6,FALSE)</f>
        <v>Java Programming</v>
      </c>
      <c r="G99" t="str">
        <f>VLOOKUP(A99,Timetable_Schedule!A98:L204,7,FALSE)</f>
        <v>FAC1020</v>
      </c>
      <c r="H99">
        <f>VLOOKUP(A99,Timetable_Schedule!A98:L204,8,FALSE)</f>
        <v>3</v>
      </c>
      <c r="I99" t="str">
        <f>VLOOKUP(A99,Timetable_Schedule!A98:L198,9,FALSE)</f>
        <v>A</v>
      </c>
      <c r="J99">
        <f>VLOOKUP(A99,Timetable_Schedule!A98:L204,10,FALSE)</f>
        <v>1</v>
      </c>
      <c r="K99" t="str">
        <f>VLOOKUP(A99,Timetable_Schedule!A98:L204,11,FALSE)</f>
        <v>No</v>
      </c>
    </row>
    <row r="100" spans="1:11" x14ac:dyDescent="0.3">
      <c r="A100" s="2" t="str">
        <f>VLOOKUP(Timetable_Schedule!A100,Timetable_Schedule!A99:L205,1,FALSE)</f>
        <v>TS0099</v>
      </c>
      <c r="B100" t="str">
        <f>IF(COUNTBLANK(Timetable_Schedule!B100)=0,Timetable_Schedule!B100,"Unknown")</f>
        <v>Thursday</v>
      </c>
      <c r="C100" t="str">
        <f>VLOOKUP(A100,Timetable_Schedule!A99:L205,3,FALSE)</f>
        <v>3:00-4:00</v>
      </c>
      <c r="D100" t="str">
        <f>IF(COUNTBLANK(Timetable_Schedule!D100)=0,Timetable_Schedule!D100,"Unknown")</f>
        <v>EEE</v>
      </c>
      <c r="E100" t="str">
        <f>VLOOKUP(A100,Timetable_Schedule!A99:L205,5,FALSE)</f>
        <v>EE114</v>
      </c>
      <c r="F100" t="str">
        <f>VLOOKUP(A100,Timetable_Schedule!A99:L205,6,FALSE)</f>
        <v>Data Mining</v>
      </c>
      <c r="G100" t="str">
        <f>VLOOKUP(A100,Timetable_Schedule!A99:L205,7,FALSE)</f>
        <v>FAC1018</v>
      </c>
      <c r="H100">
        <f>VLOOKUP(A100,Timetable_Schedule!A99:L205,8,FALSE)</f>
        <v>7</v>
      </c>
      <c r="I100" t="str">
        <f>VLOOKUP(A100,Timetable_Schedule!A99:L199,9,FALSE)</f>
        <v>A</v>
      </c>
      <c r="J100">
        <f>VLOOKUP(A100,Timetable_Schedule!A99:L205,10,FALSE)</f>
        <v>1</v>
      </c>
      <c r="K100" t="str">
        <f>VLOOKUP(A100,Timetable_Schedule!A99:L205,11,FALSE)</f>
        <v>No</v>
      </c>
    </row>
    <row r="101" spans="1:11" x14ac:dyDescent="0.3">
      <c r="A101" s="2" t="str">
        <f>VLOOKUP(Timetable_Schedule!A101,Timetable_Schedule!A100:L206,1,FALSE)</f>
        <v>TS0100</v>
      </c>
      <c r="B101" t="str">
        <f>IF(COUNTBLANK(Timetable_Schedule!B101)=0,Timetable_Schedule!B101,"Unknown")</f>
        <v>Thursday</v>
      </c>
      <c r="C101" t="str">
        <f>VLOOKUP(A101,Timetable_Schedule!A100:L206,3,FALSE)</f>
        <v>8:00-9:00</v>
      </c>
      <c r="D101" t="str">
        <f>IF(COUNTBLANK(Timetable_Schedule!D101)=0,Timetable_Schedule!D101,"Unknown")</f>
        <v>EEE</v>
      </c>
      <c r="E101" t="str">
        <f>VLOOKUP(A101,Timetable_Schedule!A100:L206,5,FALSE)</f>
        <v>EE101</v>
      </c>
      <c r="F101" t="str">
        <f>VLOOKUP(A101,Timetable_Schedule!A100:L206,6,FALSE)</f>
        <v>DBMS</v>
      </c>
      <c r="G101" t="str">
        <f>VLOOKUP(A101,Timetable_Schedule!A100:L206,7,FALSE)</f>
        <v>FAC1014</v>
      </c>
      <c r="H101">
        <f>VLOOKUP(A101,Timetable_Schedule!A100:L206,8,FALSE)</f>
        <v>3</v>
      </c>
      <c r="I101" t="str">
        <f>VLOOKUP(A101,Timetable_Schedule!A100:L200,9,FALSE)</f>
        <v>A</v>
      </c>
      <c r="J101">
        <f>VLOOKUP(A101,Timetable_Schedule!A100:L206,10,FALSE)</f>
        <v>2</v>
      </c>
      <c r="K101" t="str">
        <f>VLOOKUP(A101,Timetable_Schedule!A100:L206,11,FALSE)</f>
        <v>Yes</v>
      </c>
    </row>
  </sheetData>
  <phoneticPr fontId="3" type="noConversion"/>
  <conditionalFormatting sqref="B1:B1048576">
    <cfRule type="cellIs" dxfId="5" priority="3" operator="equal">
      <formula>"Unknown"</formula>
    </cfRule>
  </conditionalFormatting>
  <conditionalFormatting sqref="D1:D1048576">
    <cfRule type="cellIs" dxfId="4" priority="2" operator="equal">
      <formula>"Unknown"</formula>
    </cfRule>
  </conditionalFormatting>
  <conditionalFormatting sqref="L2:L101">
    <cfRule type="cellIs" dxfId="3" priority="1" operator="equal">
      <formula>"Conflict"</formula>
    </cfRule>
  </conditionalFormatting>
  <dataValidations count="1">
    <dataValidation type="list" allowBlank="1" showInputMessage="1" showErrorMessage="1" sqref="O3" xr:uid="{3F3DF8F9-FD12-4E30-A6D6-7AB5D18E4338}">
      <formula1>"A,B,C,D"</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Conflict_Flag">
                <anchor moveWithCells="1" sizeWithCells="1">
                  <from>
                    <xdr:col>12</xdr:col>
                    <xdr:colOff>594360</xdr:colOff>
                    <xdr:row>5</xdr:row>
                    <xdr:rowOff>7620</xdr:rowOff>
                  </from>
                  <to>
                    <xdr:col>15</xdr:col>
                    <xdr:colOff>518160</xdr:colOff>
                    <xdr:row>9</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F6466C-BEAF-4A89-A786-850605C30C29}">
  <sheetPr codeName="Sheet4"/>
  <dimension ref="A1:S101"/>
  <sheetViews>
    <sheetView zoomScale="67" workbookViewId="0">
      <selection activeCell="M2" sqref="M2"/>
    </sheetView>
  </sheetViews>
  <sheetFormatPr defaultRowHeight="14.4" x14ac:dyDescent="0.3"/>
  <cols>
    <col min="1" max="1" width="10.6640625" bestFit="1" customWidth="1"/>
    <col min="2" max="2" width="15.88671875" bestFit="1" customWidth="1"/>
    <col min="3" max="3" width="12.44140625" bestFit="1" customWidth="1"/>
    <col min="4" max="4" width="17.21875" bestFit="1" customWidth="1"/>
    <col min="5" max="5" width="17.33203125" bestFit="1" customWidth="1"/>
    <col min="6" max="6" width="19.33203125" bestFit="1" customWidth="1"/>
    <col min="7" max="7" width="20.44140625" bestFit="1" customWidth="1"/>
    <col min="8" max="8" width="17" bestFit="1" customWidth="1"/>
    <col min="9" max="9" width="20.33203125" bestFit="1" customWidth="1"/>
    <col min="10" max="10" width="20" bestFit="1" customWidth="1"/>
    <col min="11" max="11" width="16.88671875" bestFit="1" customWidth="1"/>
    <col min="12" max="12" width="22" bestFit="1" customWidth="1"/>
    <col min="13" max="13" width="14.6640625" bestFit="1" customWidth="1"/>
    <col min="14" max="14" width="10.44140625" bestFit="1" customWidth="1"/>
    <col min="15" max="15" width="15.88671875" bestFit="1" customWidth="1"/>
    <col min="16" max="16" width="13.5546875" bestFit="1" customWidth="1"/>
  </cols>
  <sheetData>
    <row r="1" spans="1:19" x14ac:dyDescent="0.3">
      <c r="A1" s="7" t="s">
        <v>6</v>
      </c>
      <c r="B1" s="7" t="s">
        <v>300</v>
      </c>
      <c r="C1" s="7" t="s">
        <v>3</v>
      </c>
      <c r="D1" s="7" t="s">
        <v>301</v>
      </c>
      <c r="E1" s="7" t="s">
        <v>302</v>
      </c>
      <c r="F1" s="7" t="s">
        <v>303</v>
      </c>
      <c r="G1" s="7" t="s">
        <v>304</v>
      </c>
      <c r="H1" s="7" t="s">
        <v>305</v>
      </c>
      <c r="I1" s="7" t="s">
        <v>306</v>
      </c>
      <c r="J1" s="7" t="s">
        <v>307</v>
      </c>
      <c r="K1" s="7" t="s">
        <v>308</v>
      </c>
      <c r="L1" s="7" t="s">
        <v>309</v>
      </c>
      <c r="M1" s="7" t="s">
        <v>310</v>
      </c>
      <c r="N1" s="7" t="s">
        <v>7</v>
      </c>
      <c r="O1" s="7" t="s">
        <v>311</v>
      </c>
      <c r="P1" s="7" t="s">
        <v>312</v>
      </c>
    </row>
    <row r="2" spans="1:19" x14ac:dyDescent="0.3">
      <c r="A2" t="str">
        <f>VLOOKUP(Faculty_Workload!A2,Faculty_Workload!A:P,1,FALSE)</f>
        <v>FAC1001</v>
      </c>
      <c r="B2" t="str">
        <f>VLOOKUP(A2,Faculty_Workload!A:P,2,FALSE)</f>
        <v>Sunita Sharma</v>
      </c>
      <c r="C2" t="str">
        <f>IF(COUNTBLANK(Faculty_Workload!C2)=0,Faculty_Workload!C2,"Unknown")</f>
        <v>MBA</v>
      </c>
      <c r="D2" t="str">
        <f>VLOOKUP(A2,Faculty_Workload!A:P,4,FALSE)</f>
        <v>Senior Lecturer</v>
      </c>
      <c r="E2">
        <f>VLOOKUP(A2,Faculty_Workload!A:P,5,FALSE)</f>
        <v>5</v>
      </c>
      <c r="F2">
        <f>VLOOKUP(A2,Faculty_Workload!A:P,6,FALSE)</f>
        <v>4</v>
      </c>
      <c r="G2">
        <f>VLOOKUP(A2,Faculty_Workload!A:P,7,FALSE)</f>
        <v>16</v>
      </c>
      <c r="H2">
        <f>VLOOKUP(A2,Faculty_Workload!A:P,8,FALSE)</f>
        <v>5</v>
      </c>
      <c r="I2">
        <f>VLOOKUP(A2,Faculty_Workload!A:P,9,FALSE)</f>
        <v>21</v>
      </c>
      <c r="J2">
        <f>VLOOKUP(A2,Faculty_Workload!A:P,10,FALSE)</f>
        <v>20</v>
      </c>
      <c r="K2" t="str">
        <f>IF(I2&gt;J2,"Overworked",IF(I2=J2,"Normal","Underworked"))</f>
        <v>Overworked</v>
      </c>
      <c r="L2" t="str">
        <f>VLOOKUP(A2,Faculty_Workload!A:P,12,FALSE)</f>
        <v>Exam Cell</v>
      </c>
      <c r="N2" t="str">
        <f>VLOOKUP(A2,Faculty_Workload!A:P,14,FALSE)</f>
        <v>Even</v>
      </c>
      <c r="O2" t="str">
        <f>VLOOKUP(A2,Faculty_Workload!A:P,15,FALSE)</f>
        <v>2023-24</v>
      </c>
      <c r="S2" s="16" t="s">
        <v>487</v>
      </c>
    </row>
    <row r="3" spans="1:19" x14ac:dyDescent="0.3">
      <c r="A3" t="str">
        <f>VLOOKUP(Faculty_Workload!A3,Faculty_Workload!A:P,1,FALSE)</f>
        <v>FAC1002</v>
      </c>
      <c r="B3" t="str">
        <f>VLOOKUP(A3,Faculty_Workload!A:P,2,FALSE)</f>
        <v>Nisha Sharma</v>
      </c>
      <c r="C3" t="str">
        <f>IF(COUNTBLANK(Faculty_Workload!C3)=0,Faculty_Workload!C3,"Unknown")</f>
        <v>MBA</v>
      </c>
      <c r="D3" t="str">
        <f>VLOOKUP(A3,Faculty_Workload!A:P,4,FALSE)</f>
        <v>Assistant Professor</v>
      </c>
      <c r="E3">
        <f>VLOOKUP(A3,Faculty_Workload!A:P,5,FALSE)</f>
        <v>19</v>
      </c>
      <c r="F3">
        <f>VLOOKUP(A3,Faculty_Workload!A:P,6,FALSE)</f>
        <v>4</v>
      </c>
      <c r="G3">
        <f>VLOOKUP(A3,Faculty_Workload!A:P,7,FALSE)</f>
        <v>17</v>
      </c>
      <c r="H3">
        <f>VLOOKUP(A3,Faculty_Workload!A:P,8,FALSE)</f>
        <v>3</v>
      </c>
      <c r="I3">
        <f>VLOOKUP(A3,Faculty_Workload!A:P,9,FALSE)</f>
        <v>20</v>
      </c>
      <c r="J3">
        <f>VLOOKUP(A3,Faculty_Workload!A:P,10,FALSE)</f>
        <v>20</v>
      </c>
      <c r="K3" t="str">
        <f t="shared" ref="K3:K66" si="0">IF(I3&gt;J3,"Overworked",IF(I3=J3,"Normal","Underworked"))</f>
        <v>Normal</v>
      </c>
      <c r="L3" t="str">
        <f>VLOOKUP(A3,Faculty_Workload!A:P,12,FALSE)</f>
        <v>Exam Cell</v>
      </c>
      <c r="N3" t="str">
        <f>VLOOKUP(A3,Faculty_Workload!A:P,14,FALSE)</f>
        <v>Even</v>
      </c>
      <c r="O3" t="str">
        <f>VLOOKUP(A3,Faculty_Workload!A:P,15,FALSE)</f>
        <v>2023-24</v>
      </c>
      <c r="S3" t="s">
        <v>53</v>
      </c>
    </row>
    <row r="4" spans="1:19" x14ac:dyDescent="0.3">
      <c r="A4" t="str">
        <f>VLOOKUP(Faculty_Workload!A4,Faculty_Workload!A:P,1,FALSE)</f>
        <v>FAC1003</v>
      </c>
      <c r="B4" t="str">
        <f>VLOOKUP(A4,Faculty_Workload!A:P,2,FALSE)</f>
        <v>Ravi Singh</v>
      </c>
      <c r="C4" t="str">
        <f>IF(COUNTBLANK(Faculty_Workload!C4)=0,Faculty_Workload!C4,"Unknown")</f>
        <v>MBA</v>
      </c>
      <c r="D4" t="str">
        <f>VLOOKUP(A4,Faculty_Workload!A:P,4,FALSE)</f>
        <v>Professor</v>
      </c>
      <c r="E4">
        <f>VLOOKUP(A4,Faculty_Workload!A:P,5,FALSE)</f>
        <v>14</v>
      </c>
      <c r="F4">
        <f>VLOOKUP(A4,Faculty_Workload!A:P,6,FALSE)</f>
        <v>1</v>
      </c>
      <c r="G4">
        <f>VLOOKUP(A4,Faculty_Workload!A:P,7,FALSE)</f>
        <v>11</v>
      </c>
      <c r="H4">
        <f>VLOOKUP(A4,Faculty_Workload!A:P,8,FALSE)</f>
        <v>3</v>
      </c>
      <c r="I4">
        <f>VLOOKUP(A4,Faculty_Workload!A:P,9,FALSE)</f>
        <v>14</v>
      </c>
      <c r="J4">
        <f>VLOOKUP(A4,Faculty_Workload!A:P,10,FALSE)</f>
        <v>18</v>
      </c>
      <c r="K4" t="str">
        <f t="shared" si="0"/>
        <v>Underworked</v>
      </c>
      <c r="L4" t="str">
        <f>VLOOKUP(A4,Faculty_Workload!A:P,12,FALSE)</f>
        <v>None</v>
      </c>
      <c r="N4" t="str">
        <f>VLOOKUP(A4,Faculty_Workload!A:P,14,FALSE)</f>
        <v>Odd</v>
      </c>
      <c r="O4" t="str">
        <f>VLOOKUP(A4,Faculty_Workload!A:P,15,FALSE)</f>
        <v>2024-25</v>
      </c>
    </row>
    <row r="5" spans="1:19" x14ac:dyDescent="0.3">
      <c r="A5" t="str">
        <f>VLOOKUP(Faculty_Workload!A5,Faculty_Workload!A:P,1,FALSE)</f>
        <v>FAC1004</v>
      </c>
      <c r="B5" t="str">
        <f>VLOOKUP(A5,Faculty_Workload!A:P,2,FALSE)</f>
        <v>Uma Patel</v>
      </c>
      <c r="C5" t="str">
        <f>IF(COUNTBLANK(Faculty_Workload!C5)=0,Faculty_Workload!C5,"Unknown")</f>
        <v>CE</v>
      </c>
      <c r="D5" t="str">
        <f>VLOOKUP(A5,Faculty_Workload!A:P,4,FALSE)</f>
        <v>Professor</v>
      </c>
      <c r="E5">
        <f>VLOOKUP(A5,Faculty_Workload!A:P,5,FALSE)</f>
        <v>3</v>
      </c>
      <c r="F5">
        <f>VLOOKUP(A5,Faculty_Workload!A:P,6,FALSE)</f>
        <v>1</v>
      </c>
      <c r="G5">
        <f>VLOOKUP(A5,Faculty_Workload!A:P,7,FALSE)</f>
        <v>16</v>
      </c>
      <c r="H5">
        <f>VLOOKUP(A5,Faculty_Workload!A:P,8,FALSE)</f>
        <v>4</v>
      </c>
      <c r="I5">
        <f>VLOOKUP(A5,Faculty_Workload!A:P,9,FALSE)</f>
        <v>20</v>
      </c>
      <c r="J5">
        <f>VLOOKUP(A5,Faculty_Workload!A:P,10,FALSE)</f>
        <v>18</v>
      </c>
      <c r="K5" t="str">
        <f t="shared" si="0"/>
        <v>Overworked</v>
      </c>
      <c r="L5" t="str">
        <f>VLOOKUP(A5,Faculty_Workload!A:P,12,FALSE)</f>
        <v>Research Cell</v>
      </c>
      <c r="N5" t="str">
        <f>VLOOKUP(A5,Faculty_Workload!A:P,14,FALSE)</f>
        <v>Even</v>
      </c>
      <c r="O5" t="str">
        <f>VLOOKUP(A5,Faculty_Workload!A:P,15,FALSE)</f>
        <v>2025-26</v>
      </c>
    </row>
    <row r="6" spans="1:19" x14ac:dyDescent="0.3">
      <c r="A6" t="str">
        <f>VLOOKUP(Faculty_Workload!A6,Faculty_Workload!A:P,1,FALSE)</f>
        <v>FAC1005</v>
      </c>
      <c r="B6" t="str">
        <f>VLOOKUP(A6,Faculty_Workload!A:P,2,FALSE)</f>
        <v>Meena Verma</v>
      </c>
      <c r="C6" t="str">
        <f>IF(COUNTBLANK(Faculty_Workload!C6)=0,Faculty_Workload!C6,"Unknown")</f>
        <v>ME</v>
      </c>
      <c r="D6" t="str">
        <f>VLOOKUP(A6,Faculty_Workload!A:P,4,FALSE)</f>
        <v>Professor</v>
      </c>
      <c r="E6">
        <f>VLOOKUP(A6,Faculty_Workload!A:P,5,FALSE)</f>
        <v>6</v>
      </c>
      <c r="F6">
        <f>VLOOKUP(A6,Faculty_Workload!A:P,6,FALSE)</f>
        <v>2</v>
      </c>
      <c r="G6">
        <f>VLOOKUP(A6,Faculty_Workload!A:P,7,FALSE)</f>
        <v>18</v>
      </c>
      <c r="H6">
        <f>VLOOKUP(A6,Faculty_Workload!A:P,8,FALSE)</f>
        <v>0</v>
      </c>
      <c r="I6">
        <f>VLOOKUP(A6,Faculty_Workload!A:P,9,FALSE)</f>
        <v>18</v>
      </c>
      <c r="J6">
        <f>VLOOKUP(A6,Faculty_Workload!A:P,10,FALSE)</f>
        <v>18</v>
      </c>
      <c r="K6" t="str">
        <f t="shared" si="0"/>
        <v>Normal</v>
      </c>
      <c r="L6" t="str">
        <f>VLOOKUP(A6,Faculty_Workload!A:P,12,FALSE)</f>
        <v>Library Committee</v>
      </c>
      <c r="N6" t="str">
        <f>VLOOKUP(A6,Faculty_Workload!A:P,14,FALSE)</f>
        <v>Even</v>
      </c>
      <c r="O6" t="str">
        <f>VLOOKUP(A6,Faculty_Workload!A:P,15,FALSE)</f>
        <v>2025-26</v>
      </c>
    </row>
    <row r="7" spans="1:19" x14ac:dyDescent="0.3">
      <c r="A7" t="str">
        <f>VLOOKUP(Faculty_Workload!A7,Faculty_Workload!A:P,1,FALSE)</f>
        <v>FAC1006</v>
      </c>
      <c r="B7" t="str">
        <f>VLOOKUP(A7,Faculty_Workload!A:P,2,FALSE)</f>
        <v>Rekha Agarwal</v>
      </c>
      <c r="C7" t="str">
        <f>IF(COUNTBLANK(Faculty_Workload!C7)=0,Faculty_Workload!C7,"Unknown")</f>
        <v>IT</v>
      </c>
      <c r="D7" t="str">
        <f>VLOOKUP(A7,Faculty_Workload!A:P,4,FALSE)</f>
        <v>Professor</v>
      </c>
      <c r="E7">
        <f>VLOOKUP(A7,Faculty_Workload!A:P,5,FALSE)</f>
        <v>15</v>
      </c>
      <c r="F7">
        <f>VLOOKUP(A7,Faculty_Workload!A:P,6,FALSE)</f>
        <v>1</v>
      </c>
      <c r="G7">
        <f>VLOOKUP(A7,Faculty_Workload!A:P,7,FALSE)</f>
        <v>15</v>
      </c>
      <c r="H7">
        <f>VLOOKUP(A7,Faculty_Workload!A:P,8,FALSE)</f>
        <v>3</v>
      </c>
      <c r="I7">
        <f>VLOOKUP(A7,Faculty_Workload!A:P,9,FALSE)</f>
        <v>18</v>
      </c>
      <c r="J7">
        <f>VLOOKUP(A7,Faculty_Workload!A:P,10,FALSE)</f>
        <v>18</v>
      </c>
      <c r="K7" t="str">
        <f t="shared" si="0"/>
        <v>Normal</v>
      </c>
      <c r="L7" t="str">
        <f>VLOOKUP(A7,Faculty_Workload!A:P,12,FALSE)</f>
        <v>None</v>
      </c>
      <c r="N7" t="str">
        <f>VLOOKUP(A7,Faculty_Workload!A:P,14,FALSE)</f>
        <v>Even</v>
      </c>
      <c r="O7" t="str">
        <f>VLOOKUP(A7,Faculty_Workload!A:P,15,FALSE)</f>
        <v>2025-26</v>
      </c>
    </row>
    <row r="8" spans="1:19" x14ac:dyDescent="0.3">
      <c r="A8" t="str">
        <f>VLOOKUP(Faculty_Workload!A8,Faculty_Workload!A:P,1,FALSE)</f>
        <v>FAC1007</v>
      </c>
      <c r="B8" t="str">
        <f>VLOOKUP(A8,Faculty_Workload!A:P,2,FALSE)</f>
        <v>Mohan Verma</v>
      </c>
      <c r="C8" t="str">
        <f>IF(COUNTBLANK(Faculty_Workload!C8)=0,Faculty_Workload!C8,"Unknown")</f>
        <v>EEE</v>
      </c>
      <c r="D8" t="str">
        <f>VLOOKUP(A8,Faculty_Workload!A:P,4,FALSE)</f>
        <v>Senior Lecturer</v>
      </c>
      <c r="E8">
        <f>VLOOKUP(A8,Faculty_Workload!A:P,5,FALSE)</f>
        <v>2</v>
      </c>
      <c r="F8">
        <f>VLOOKUP(A8,Faculty_Workload!A:P,6,FALSE)</f>
        <v>1</v>
      </c>
      <c r="G8">
        <f>VLOOKUP(A8,Faculty_Workload!A:P,7,FALSE)</f>
        <v>13</v>
      </c>
      <c r="H8">
        <f>VLOOKUP(A8,Faculty_Workload!A:P,8,FALSE)</f>
        <v>6</v>
      </c>
      <c r="I8">
        <f>VLOOKUP(A8,Faculty_Workload!A:P,9,FALSE)</f>
        <v>19</v>
      </c>
      <c r="J8">
        <f>VLOOKUP(A8,Faculty_Workload!A:P,10,FALSE)</f>
        <v>20</v>
      </c>
      <c r="K8" t="str">
        <f t="shared" si="0"/>
        <v>Underworked</v>
      </c>
      <c r="L8" t="str">
        <f>VLOOKUP(A8,Faculty_Workload!A:P,12,FALSE)</f>
        <v>Sports Cell</v>
      </c>
      <c r="N8" t="str">
        <f>VLOOKUP(A8,Faculty_Workload!A:P,14,FALSE)</f>
        <v>Odd</v>
      </c>
      <c r="O8" t="str">
        <f>VLOOKUP(A8,Faculty_Workload!A:P,15,FALSE)</f>
        <v>2025-26</v>
      </c>
    </row>
    <row r="9" spans="1:19" x14ac:dyDescent="0.3">
      <c r="A9" t="str">
        <f>VLOOKUP(Faculty_Workload!A9,Faculty_Workload!A:P,1,FALSE)</f>
        <v>FAC1008</v>
      </c>
      <c r="B9" t="str">
        <f>VLOOKUP(A9,Faculty_Workload!A:P,2,FALSE)</f>
        <v>Arun Pandey</v>
      </c>
      <c r="C9" t="str">
        <f>IF(COUNTBLANK(Faculty_Workload!C9)=0,Faculty_Workload!C9,"Unknown")</f>
        <v>CSE</v>
      </c>
      <c r="D9" t="str">
        <f>VLOOKUP(A9,Faculty_Workload!A:P,4,FALSE)</f>
        <v>Senior Lecturer</v>
      </c>
      <c r="E9">
        <f>VLOOKUP(A9,Faculty_Workload!A:P,5,FALSE)</f>
        <v>21</v>
      </c>
      <c r="F9">
        <f>VLOOKUP(A9,Faculty_Workload!A:P,6,FALSE)</f>
        <v>1</v>
      </c>
      <c r="G9">
        <f>VLOOKUP(A9,Faculty_Workload!A:P,7,FALSE)</f>
        <v>13</v>
      </c>
      <c r="H9">
        <f>VLOOKUP(A9,Faculty_Workload!A:P,8,FALSE)</f>
        <v>4</v>
      </c>
      <c r="I9">
        <f>VLOOKUP(A9,Faculty_Workload!A:P,9,FALSE)</f>
        <v>17</v>
      </c>
      <c r="J9">
        <f>VLOOKUP(A9,Faculty_Workload!A:P,10,FALSE)</f>
        <v>20</v>
      </c>
      <c r="K9" t="str">
        <f t="shared" si="0"/>
        <v>Underworked</v>
      </c>
      <c r="L9" t="str">
        <f>VLOOKUP(A9,Faculty_Workload!A:P,12,FALSE)</f>
        <v>Time Table Committee</v>
      </c>
      <c r="N9" t="str">
        <f>VLOOKUP(A9,Faculty_Workload!A:P,14,FALSE)</f>
        <v>Odd</v>
      </c>
      <c r="O9" t="str">
        <f>VLOOKUP(A9,Faculty_Workload!A:P,15,FALSE)</f>
        <v>2023-24</v>
      </c>
    </row>
    <row r="10" spans="1:19" x14ac:dyDescent="0.3">
      <c r="A10" t="str">
        <f>VLOOKUP(Faculty_Workload!A10,Faculty_Workload!A:P,1,FALSE)</f>
        <v>FAC1009</v>
      </c>
      <c r="B10" t="str">
        <f>VLOOKUP(A10,Faculty_Workload!A:P,2,FALSE)</f>
        <v>Ravi Chaudhary</v>
      </c>
      <c r="C10" t="str">
        <f>IF(COUNTBLANK(Faculty_Workload!C10)=0,Faculty_Workload!C10,"Unknown")</f>
        <v>ECE</v>
      </c>
      <c r="D10" t="str">
        <f>VLOOKUP(A10,Faculty_Workload!A:P,4,FALSE)</f>
        <v>Lecturer</v>
      </c>
      <c r="E10">
        <f>VLOOKUP(A10,Faculty_Workload!A:P,5,FALSE)</f>
        <v>6</v>
      </c>
      <c r="F10">
        <f>VLOOKUP(A10,Faculty_Workload!A:P,6,FALSE)</f>
        <v>1</v>
      </c>
      <c r="G10">
        <f>VLOOKUP(A10,Faculty_Workload!A:P,7,FALSE)</f>
        <v>11</v>
      </c>
      <c r="H10">
        <f>VLOOKUP(A10,Faculty_Workload!A:P,8,FALSE)</f>
        <v>5</v>
      </c>
      <c r="I10">
        <f>VLOOKUP(A10,Faculty_Workload!A:P,9,FALSE)</f>
        <v>16</v>
      </c>
      <c r="J10">
        <f>VLOOKUP(A10,Faculty_Workload!A:P,10,FALSE)</f>
        <v>20</v>
      </c>
      <c r="K10" t="str">
        <f t="shared" si="0"/>
        <v>Underworked</v>
      </c>
      <c r="L10" t="str">
        <f>VLOOKUP(A10,Faculty_Workload!A:P,12,FALSE)</f>
        <v>None</v>
      </c>
      <c r="N10" t="str">
        <f>VLOOKUP(A10,Faculty_Workload!A:P,14,FALSE)</f>
        <v>Odd</v>
      </c>
      <c r="O10" t="str">
        <f>VLOOKUP(A10,Faculty_Workload!A:P,15,FALSE)</f>
        <v>2024-25</v>
      </c>
    </row>
    <row r="11" spans="1:19" x14ac:dyDescent="0.3">
      <c r="A11" t="str">
        <f>VLOOKUP(Faculty_Workload!A11,Faculty_Workload!A:P,1,FALSE)</f>
        <v>FAC1010</v>
      </c>
      <c r="B11" t="str">
        <f>VLOOKUP(A11,Faculty_Workload!A:P,2,FALSE)</f>
        <v>Sanjay Mishra</v>
      </c>
      <c r="C11" t="str">
        <f>IF(COUNTBLANK(Faculty_Workload!C11)=0,Faculty_Workload!C11,"Unknown")</f>
        <v>IT</v>
      </c>
      <c r="D11" t="str">
        <f>VLOOKUP(A11,Faculty_Workload!A:P,4,FALSE)</f>
        <v>Lecturer</v>
      </c>
      <c r="E11">
        <f>VLOOKUP(A11,Faculty_Workload!A:P,5,FALSE)</f>
        <v>26</v>
      </c>
      <c r="F11">
        <f>VLOOKUP(A11,Faculty_Workload!A:P,6,FALSE)</f>
        <v>3</v>
      </c>
      <c r="G11">
        <f>VLOOKUP(A11,Faculty_Workload!A:P,7,FALSE)</f>
        <v>9</v>
      </c>
      <c r="H11">
        <f>VLOOKUP(A11,Faculty_Workload!A:P,8,FALSE)</f>
        <v>2</v>
      </c>
      <c r="I11">
        <f>VLOOKUP(A11,Faculty_Workload!A:P,9,FALSE)</f>
        <v>11</v>
      </c>
      <c r="J11">
        <f>VLOOKUP(A11,Faculty_Workload!A:P,10,FALSE)</f>
        <v>20</v>
      </c>
      <c r="K11" t="str">
        <f t="shared" si="0"/>
        <v>Underworked</v>
      </c>
      <c r="L11" t="str">
        <f>VLOOKUP(A11,Faculty_Workload!A:P,12,FALSE)</f>
        <v>Research Cell</v>
      </c>
      <c r="N11" t="str">
        <f>VLOOKUP(A11,Faculty_Workload!A:P,14,FALSE)</f>
        <v>Even</v>
      </c>
      <c r="O11" t="str">
        <f>VLOOKUP(A11,Faculty_Workload!A:P,15,FALSE)</f>
        <v>2024-25</v>
      </c>
    </row>
    <row r="12" spans="1:19" x14ac:dyDescent="0.3">
      <c r="A12" t="str">
        <f>VLOOKUP(Faculty_Workload!A12,Faculty_Workload!A:P,1,FALSE)</f>
        <v>FAC1011</v>
      </c>
      <c r="B12" t="str">
        <f>VLOOKUP(A12,Faculty_Workload!A:P,2,FALSE)</f>
        <v>Ravi Verma</v>
      </c>
      <c r="C12" t="str">
        <f>IF(COUNTBLANK(Faculty_Workload!C12)=0,Faculty_Workload!C12,"Unknown")</f>
        <v>ME</v>
      </c>
      <c r="D12" t="str">
        <f>VLOOKUP(A12,Faculty_Workload!A:P,4,FALSE)</f>
        <v>Professor</v>
      </c>
      <c r="E12">
        <f>VLOOKUP(A12,Faculty_Workload!A:P,5,FALSE)</f>
        <v>21</v>
      </c>
      <c r="F12">
        <f>VLOOKUP(A12,Faculty_Workload!A:P,6,FALSE)</f>
        <v>4</v>
      </c>
      <c r="G12">
        <f>VLOOKUP(A12,Faculty_Workload!A:P,7,FALSE)</f>
        <v>10</v>
      </c>
      <c r="H12">
        <f>VLOOKUP(A12,Faculty_Workload!A:P,8,FALSE)</f>
        <v>4</v>
      </c>
      <c r="I12">
        <f>VLOOKUP(A12,Faculty_Workload!A:P,9,FALSE)</f>
        <v>14</v>
      </c>
      <c r="J12">
        <f>VLOOKUP(A12,Faculty_Workload!A:P,10,FALSE)</f>
        <v>18</v>
      </c>
      <c r="K12" t="str">
        <f t="shared" si="0"/>
        <v>Underworked</v>
      </c>
      <c r="L12" t="str">
        <f>VLOOKUP(A12,Faculty_Workload!A:P,12,FALSE)</f>
        <v>None</v>
      </c>
      <c r="N12" t="str">
        <f>VLOOKUP(A12,Faculty_Workload!A:P,14,FALSE)</f>
        <v>Even</v>
      </c>
      <c r="O12" t="str">
        <f>VLOOKUP(A12,Faculty_Workload!A:P,15,FALSE)</f>
        <v>2025-26</v>
      </c>
    </row>
    <row r="13" spans="1:19" x14ac:dyDescent="0.3">
      <c r="A13" t="str">
        <f>VLOOKUP(Faculty_Workload!A13,Faculty_Workload!A:P,1,FALSE)</f>
        <v>FAC1012</v>
      </c>
      <c r="B13" t="str">
        <f>VLOOKUP(A13,Faculty_Workload!A:P,2,FALSE)</f>
        <v>Vikram Tiwari</v>
      </c>
      <c r="C13" t="str">
        <f>IF(COUNTBLANK(Faculty_Workload!C13)=0,Faculty_Workload!C13,"Unknown")</f>
        <v>ECE</v>
      </c>
      <c r="D13" t="str">
        <f>VLOOKUP(A13,Faculty_Workload!A:P,4,FALSE)</f>
        <v>Senior Lecturer</v>
      </c>
      <c r="E13">
        <f>VLOOKUP(A13,Faculty_Workload!A:P,5,FALSE)</f>
        <v>12</v>
      </c>
      <c r="F13">
        <f>VLOOKUP(A13,Faculty_Workload!A:P,6,FALSE)</f>
        <v>1</v>
      </c>
      <c r="G13">
        <f>VLOOKUP(A13,Faculty_Workload!A:P,7,FALSE)</f>
        <v>13</v>
      </c>
      <c r="H13">
        <f>VLOOKUP(A13,Faculty_Workload!A:P,8,FALSE)</f>
        <v>2</v>
      </c>
      <c r="I13">
        <f>VLOOKUP(A13,Faculty_Workload!A:P,9,FALSE)</f>
        <v>15</v>
      </c>
      <c r="J13">
        <f>VLOOKUP(A13,Faculty_Workload!A:P,10,FALSE)</f>
        <v>20</v>
      </c>
      <c r="K13" t="str">
        <f t="shared" si="0"/>
        <v>Underworked</v>
      </c>
      <c r="L13" t="str">
        <f>VLOOKUP(A13,Faculty_Workload!A:P,12,FALSE)</f>
        <v>None</v>
      </c>
      <c r="N13" t="str">
        <f>VLOOKUP(A13,Faculty_Workload!A:P,14,FALSE)</f>
        <v>Even</v>
      </c>
      <c r="O13" t="str">
        <f>VLOOKUP(A13,Faculty_Workload!A:P,15,FALSE)</f>
        <v>2024-25</v>
      </c>
    </row>
    <row r="14" spans="1:19" x14ac:dyDescent="0.3">
      <c r="A14" t="str">
        <f>VLOOKUP(Faculty_Workload!A14,Faculty_Workload!A:P,1,FALSE)</f>
        <v>FAC1013</v>
      </c>
      <c r="B14" t="str">
        <f>VLOOKUP(A14,Faculty_Workload!A:P,2,FALSE)</f>
        <v>Vikram Singh</v>
      </c>
      <c r="C14" t="str">
        <f>IF(COUNTBLANK(Faculty_Workload!C14)=0,Faculty_Workload!C14,"Unknown")</f>
        <v>Unknown</v>
      </c>
      <c r="D14" t="str">
        <f>VLOOKUP(A14,Faculty_Workload!A:P,4,FALSE)</f>
        <v>Professor</v>
      </c>
      <c r="E14">
        <f>VLOOKUP(A14,Faculty_Workload!A:P,5,FALSE)</f>
        <v>17</v>
      </c>
      <c r="F14">
        <f>VLOOKUP(A14,Faculty_Workload!A:P,6,FALSE)</f>
        <v>1</v>
      </c>
      <c r="G14">
        <f>VLOOKUP(A14,Faculty_Workload!A:P,7,FALSE)</f>
        <v>18</v>
      </c>
      <c r="H14">
        <f>VLOOKUP(A14,Faculty_Workload!A:P,8,FALSE)</f>
        <v>2</v>
      </c>
      <c r="I14">
        <f>VLOOKUP(A14,Faculty_Workload!A:P,9,FALSE)</f>
        <v>20</v>
      </c>
      <c r="J14">
        <f>VLOOKUP(A14,Faculty_Workload!A:P,10,FALSE)</f>
        <v>18</v>
      </c>
      <c r="K14" t="str">
        <f t="shared" si="0"/>
        <v>Overworked</v>
      </c>
      <c r="L14" t="str">
        <f>VLOOKUP(A14,Faculty_Workload!A:P,12,FALSE)</f>
        <v>Research Cell</v>
      </c>
      <c r="N14" t="str">
        <f>VLOOKUP(A14,Faculty_Workload!A:P,14,FALSE)</f>
        <v>Odd</v>
      </c>
      <c r="O14" t="str">
        <f>VLOOKUP(A14,Faculty_Workload!A:P,15,FALSE)</f>
        <v>2025-26</v>
      </c>
    </row>
    <row r="15" spans="1:19" x14ac:dyDescent="0.3">
      <c r="A15" t="str">
        <f>VLOOKUP(Faculty_Workload!A15,Faculty_Workload!A:P,1,FALSE)</f>
        <v>FAC1014</v>
      </c>
      <c r="B15" t="str">
        <f>VLOOKUP(A15,Faculty_Workload!A:P,2,FALSE)</f>
        <v>Anita Singh</v>
      </c>
      <c r="C15" t="str">
        <f>IF(COUNTBLANK(Faculty_Workload!C15)=0,Faculty_Workload!C15,"Unknown")</f>
        <v>ME</v>
      </c>
      <c r="D15" t="str">
        <f>VLOOKUP(A15,Faculty_Workload!A:P,4,FALSE)</f>
        <v>Senior Lecturer</v>
      </c>
      <c r="E15">
        <f>VLOOKUP(A15,Faculty_Workload!A:P,5,FALSE)</f>
        <v>14</v>
      </c>
      <c r="F15">
        <f>VLOOKUP(A15,Faculty_Workload!A:P,6,FALSE)</f>
        <v>3</v>
      </c>
      <c r="G15">
        <f>VLOOKUP(A15,Faculty_Workload!A:P,7,FALSE)</f>
        <v>18</v>
      </c>
      <c r="H15">
        <f>VLOOKUP(A15,Faculty_Workload!A:P,8,FALSE)</f>
        <v>5</v>
      </c>
      <c r="I15">
        <f>VLOOKUP(A15,Faculty_Workload!A:P,9,FALSE)</f>
        <v>23</v>
      </c>
      <c r="J15">
        <f>VLOOKUP(A15,Faculty_Workload!A:P,10,FALSE)</f>
        <v>20</v>
      </c>
      <c r="K15" t="str">
        <f t="shared" si="0"/>
        <v>Overworked</v>
      </c>
      <c r="L15" t="str">
        <f>VLOOKUP(A15,Faculty_Workload!A:P,12,FALSE)</f>
        <v>Library Committee</v>
      </c>
      <c r="N15" t="str">
        <f>VLOOKUP(A15,Faculty_Workload!A:P,14,FALSE)</f>
        <v>Even</v>
      </c>
      <c r="O15" t="str">
        <f>VLOOKUP(A15,Faculty_Workload!A:P,15,FALSE)</f>
        <v>2025-26</v>
      </c>
    </row>
    <row r="16" spans="1:19" x14ac:dyDescent="0.3">
      <c r="A16" t="str">
        <f>VLOOKUP(Faculty_Workload!A16,Faculty_Workload!A:P,1,FALSE)</f>
        <v>FAC1015</v>
      </c>
      <c r="B16" t="str">
        <f>VLOOKUP(A16,Faculty_Workload!A:P,2,FALSE)</f>
        <v>Meena Yadav</v>
      </c>
      <c r="C16" t="str">
        <f>IF(COUNTBLANK(Faculty_Workload!C16)=0,Faculty_Workload!C16,"Unknown")</f>
        <v>CE</v>
      </c>
      <c r="D16" t="str">
        <f>VLOOKUP(A16,Faculty_Workload!A:P,4,FALSE)</f>
        <v>Professor</v>
      </c>
      <c r="E16">
        <f>VLOOKUP(A16,Faculty_Workload!A:P,5,FALSE)</f>
        <v>29</v>
      </c>
      <c r="F16">
        <f>VLOOKUP(A16,Faculty_Workload!A:P,6,FALSE)</f>
        <v>2</v>
      </c>
      <c r="G16">
        <f>VLOOKUP(A16,Faculty_Workload!A:P,7,FALSE)</f>
        <v>13</v>
      </c>
      <c r="H16">
        <f>VLOOKUP(A16,Faculty_Workload!A:P,8,FALSE)</f>
        <v>5</v>
      </c>
      <c r="I16">
        <f>VLOOKUP(A16,Faculty_Workload!A:P,9,FALSE)</f>
        <v>18</v>
      </c>
      <c r="J16">
        <f>VLOOKUP(A16,Faculty_Workload!A:P,10,FALSE)</f>
        <v>18</v>
      </c>
      <c r="K16" t="str">
        <f t="shared" si="0"/>
        <v>Normal</v>
      </c>
      <c r="L16" t="str">
        <f>VLOOKUP(A16,Faculty_Workload!A:P,12,FALSE)</f>
        <v>Sports Cell</v>
      </c>
      <c r="N16" t="str">
        <f>VLOOKUP(A16,Faculty_Workload!A:P,14,FALSE)</f>
        <v>Even</v>
      </c>
      <c r="O16" t="str">
        <f>VLOOKUP(A16,Faculty_Workload!A:P,15,FALSE)</f>
        <v>2024-25</v>
      </c>
    </row>
    <row r="17" spans="1:15" x14ac:dyDescent="0.3">
      <c r="A17" t="str">
        <f>VLOOKUP(Faculty_Workload!A17,Faculty_Workload!A:P,1,FALSE)</f>
        <v>FAC1016</v>
      </c>
      <c r="B17" t="str">
        <f>VLOOKUP(A17,Faculty_Workload!A:P,2,FALSE)</f>
        <v>Mohan Yadav</v>
      </c>
      <c r="C17" t="str">
        <f>IF(COUNTBLANK(Faculty_Workload!C17)=0,Faculty_Workload!C17,"Unknown")</f>
        <v>MCA</v>
      </c>
      <c r="D17" t="str">
        <f>VLOOKUP(A17,Faculty_Workload!A:P,4,FALSE)</f>
        <v>Associate Professor</v>
      </c>
      <c r="E17">
        <f>VLOOKUP(A17,Faculty_Workload!A:P,5,FALSE)</f>
        <v>26</v>
      </c>
      <c r="F17">
        <f>VLOOKUP(A17,Faculty_Workload!A:P,6,FALSE)</f>
        <v>2</v>
      </c>
      <c r="G17">
        <f>VLOOKUP(A17,Faculty_Workload!A:P,7,FALSE)</f>
        <v>12</v>
      </c>
      <c r="H17">
        <f>VLOOKUP(A17,Faculty_Workload!A:P,8,FALSE)</f>
        <v>0</v>
      </c>
      <c r="I17">
        <f>VLOOKUP(A17,Faculty_Workload!A:P,9,FALSE)</f>
        <v>12</v>
      </c>
      <c r="J17">
        <f>VLOOKUP(A17,Faculty_Workload!A:P,10,FALSE)</f>
        <v>20</v>
      </c>
      <c r="K17" t="str">
        <f t="shared" si="0"/>
        <v>Underworked</v>
      </c>
      <c r="L17" t="str">
        <f>VLOOKUP(A17,Faculty_Workload!A:P,12,FALSE)</f>
        <v>Time Table Committee</v>
      </c>
      <c r="N17" t="str">
        <f>VLOOKUP(A17,Faculty_Workload!A:P,14,FALSE)</f>
        <v>Even</v>
      </c>
      <c r="O17" t="str">
        <f>VLOOKUP(A17,Faculty_Workload!A:P,15,FALSE)</f>
        <v>2025-26</v>
      </c>
    </row>
    <row r="18" spans="1:15" x14ac:dyDescent="0.3">
      <c r="A18" t="str">
        <f>VLOOKUP(Faculty_Workload!A18,Faculty_Workload!A:P,1,FALSE)</f>
        <v>FAC1017</v>
      </c>
      <c r="B18" t="str">
        <f>VLOOKUP(A18,Faculty_Workload!A:P,2,FALSE)</f>
        <v>Kavya Verma</v>
      </c>
      <c r="C18" t="str">
        <f>IF(COUNTBLANK(Faculty_Workload!C18)=0,Faculty_Workload!C18,"Unknown")</f>
        <v>ME</v>
      </c>
      <c r="D18" t="str">
        <f>VLOOKUP(A18,Faculty_Workload!A:P,4,FALSE)</f>
        <v>Professor</v>
      </c>
      <c r="E18">
        <f>VLOOKUP(A18,Faculty_Workload!A:P,5,FALSE)</f>
        <v>29</v>
      </c>
      <c r="F18">
        <f>VLOOKUP(A18,Faculty_Workload!A:P,6,FALSE)</f>
        <v>2</v>
      </c>
      <c r="G18">
        <f>VLOOKUP(A18,Faculty_Workload!A:P,7,FALSE)</f>
        <v>14</v>
      </c>
      <c r="H18">
        <f>VLOOKUP(A18,Faculty_Workload!A:P,8,FALSE)</f>
        <v>0</v>
      </c>
      <c r="I18">
        <f>VLOOKUP(A18,Faculty_Workload!A:P,9,FALSE)</f>
        <v>14</v>
      </c>
      <c r="J18">
        <f>VLOOKUP(A18,Faculty_Workload!A:P,10,FALSE)</f>
        <v>18</v>
      </c>
      <c r="K18" t="str">
        <f t="shared" si="0"/>
        <v>Underworked</v>
      </c>
      <c r="L18" t="str">
        <f>VLOOKUP(A18,Faculty_Workload!A:P,12,FALSE)</f>
        <v>Exam Cell</v>
      </c>
      <c r="N18" t="str">
        <f>VLOOKUP(A18,Faculty_Workload!A:P,14,FALSE)</f>
        <v>Even</v>
      </c>
      <c r="O18" t="str">
        <f>VLOOKUP(A18,Faculty_Workload!A:P,15,FALSE)</f>
        <v>2023-24</v>
      </c>
    </row>
    <row r="19" spans="1:15" x14ac:dyDescent="0.3">
      <c r="A19" t="str">
        <f>VLOOKUP(Faculty_Workload!A19,Faculty_Workload!A:P,1,FALSE)</f>
        <v>FAC1018</v>
      </c>
      <c r="B19" t="str">
        <f>VLOOKUP(A19,Faculty_Workload!A:P,2,FALSE)</f>
        <v>Sanjay Yadav</v>
      </c>
      <c r="C19" t="str">
        <f>IF(COUNTBLANK(Faculty_Workload!C19)=0,Faculty_Workload!C19,"Unknown")</f>
        <v>IT</v>
      </c>
      <c r="D19" t="str">
        <f>VLOOKUP(A19,Faculty_Workload!A:P,4,FALSE)</f>
        <v>Associate Professor</v>
      </c>
      <c r="E19">
        <f>VLOOKUP(A19,Faculty_Workload!A:P,5,FALSE)</f>
        <v>3</v>
      </c>
      <c r="F19">
        <f>VLOOKUP(A19,Faculty_Workload!A:P,6,FALSE)</f>
        <v>3</v>
      </c>
      <c r="G19">
        <f>VLOOKUP(A19,Faculty_Workload!A:P,7,FALSE)</f>
        <v>11</v>
      </c>
      <c r="H19">
        <f>VLOOKUP(A19,Faculty_Workload!A:P,8,FALSE)</f>
        <v>0</v>
      </c>
      <c r="I19">
        <f>VLOOKUP(A19,Faculty_Workload!A:P,9,FALSE)</f>
        <v>11</v>
      </c>
      <c r="J19">
        <f>VLOOKUP(A19,Faculty_Workload!A:P,10,FALSE)</f>
        <v>20</v>
      </c>
      <c r="K19" t="str">
        <f t="shared" si="0"/>
        <v>Underworked</v>
      </c>
      <c r="L19" t="str">
        <f>VLOOKUP(A19,Faculty_Workload!A:P,12,FALSE)</f>
        <v>Exam Cell</v>
      </c>
      <c r="N19" t="str">
        <f>VLOOKUP(A19,Faculty_Workload!A:P,14,FALSE)</f>
        <v>Even</v>
      </c>
      <c r="O19" t="str">
        <f>VLOOKUP(A19,Faculty_Workload!A:P,15,FALSE)</f>
        <v>2023-24</v>
      </c>
    </row>
    <row r="20" spans="1:15" x14ac:dyDescent="0.3">
      <c r="A20" t="str">
        <f>VLOOKUP(Faculty_Workload!A20,Faculty_Workload!A:P,1,FALSE)</f>
        <v>FAC1019</v>
      </c>
      <c r="B20" t="str">
        <f>VLOOKUP(A20,Faculty_Workload!A:P,2,FALSE)</f>
        <v>Kavya Agarwal</v>
      </c>
      <c r="C20" t="str">
        <f>IF(COUNTBLANK(Faculty_Workload!C20)=0,Faculty_Workload!C20,"Unknown")</f>
        <v>MBA</v>
      </c>
      <c r="D20" t="str">
        <f>VLOOKUP(A20,Faculty_Workload!A:P,4,FALSE)</f>
        <v>Associate Professor</v>
      </c>
      <c r="E20">
        <f>VLOOKUP(A20,Faculty_Workload!A:P,5,FALSE)</f>
        <v>16</v>
      </c>
      <c r="F20">
        <f>VLOOKUP(A20,Faculty_Workload!A:P,6,FALSE)</f>
        <v>4</v>
      </c>
      <c r="G20">
        <f>VLOOKUP(A20,Faculty_Workload!A:P,7,FALSE)</f>
        <v>17</v>
      </c>
      <c r="H20">
        <f>VLOOKUP(A20,Faculty_Workload!A:P,8,FALSE)</f>
        <v>0</v>
      </c>
      <c r="I20">
        <f>VLOOKUP(A20,Faculty_Workload!A:P,9,FALSE)</f>
        <v>17</v>
      </c>
      <c r="J20">
        <f>VLOOKUP(A20,Faculty_Workload!A:P,10,FALSE)</f>
        <v>20</v>
      </c>
      <c r="K20" t="str">
        <f t="shared" si="0"/>
        <v>Underworked</v>
      </c>
      <c r="L20" t="str">
        <f>VLOOKUP(A20,Faculty_Workload!A:P,12,FALSE)</f>
        <v>Research Cell</v>
      </c>
      <c r="N20" t="str">
        <f>VLOOKUP(A20,Faculty_Workload!A:P,14,FALSE)</f>
        <v>Even</v>
      </c>
      <c r="O20" t="str">
        <f>VLOOKUP(A20,Faculty_Workload!A:P,15,FALSE)</f>
        <v>2023-24</v>
      </c>
    </row>
    <row r="21" spans="1:15" x14ac:dyDescent="0.3">
      <c r="A21" t="str">
        <f>VLOOKUP(Faculty_Workload!A21,Faculty_Workload!A:P,1,FALSE)</f>
        <v>FAC1020</v>
      </c>
      <c r="B21" t="str">
        <f>VLOOKUP(A21,Faculty_Workload!A:P,2,FALSE)</f>
        <v>Lata Chaudhary</v>
      </c>
      <c r="C21" t="str">
        <f>IF(COUNTBLANK(Faculty_Workload!C21)=0,Faculty_Workload!C21,"Unknown")</f>
        <v>MCA</v>
      </c>
      <c r="D21" t="str">
        <f>VLOOKUP(A21,Faculty_Workload!A:P,4,FALSE)</f>
        <v>Assistant Professor</v>
      </c>
      <c r="E21">
        <f>VLOOKUP(A21,Faculty_Workload!A:P,5,FALSE)</f>
        <v>8</v>
      </c>
      <c r="F21">
        <f>VLOOKUP(A21,Faculty_Workload!A:P,6,FALSE)</f>
        <v>3</v>
      </c>
      <c r="G21">
        <f>VLOOKUP(A21,Faculty_Workload!A:P,7,FALSE)</f>
        <v>9</v>
      </c>
      <c r="H21">
        <f>VLOOKUP(A21,Faculty_Workload!A:P,8,FALSE)</f>
        <v>0</v>
      </c>
      <c r="I21">
        <f>VLOOKUP(A21,Faculty_Workload!A:P,9,FALSE)</f>
        <v>9</v>
      </c>
      <c r="J21">
        <f>VLOOKUP(A21,Faculty_Workload!A:P,10,FALSE)</f>
        <v>20</v>
      </c>
      <c r="K21" t="str">
        <f t="shared" si="0"/>
        <v>Underworked</v>
      </c>
      <c r="L21" t="str">
        <f>VLOOKUP(A21,Faculty_Workload!A:P,12,FALSE)</f>
        <v>Library Committee</v>
      </c>
      <c r="N21" t="str">
        <f>VLOOKUP(A21,Faculty_Workload!A:P,14,FALSE)</f>
        <v>Even</v>
      </c>
      <c r="O21" t="str">
        <f>VLOOKUP(A21,Faculty_Workload!A:P,15,FALSE)</f>
        <v>2023-24</v>
      </c>
    </row>
    <row r="22" spans="1:15" x14ac:dyDescent="0.3">
      <c r="A22" t="str">
        <f>VLOOKUP(Faculty_Workload!A22,Faculty_Workload!A:P,1,FALSE)</f>
        <v>FAC1021</v>
      </c>
      <c r="B22" t="str">
        <f>VLOOKUP(A22,Faculty_Workload!A:P,2,FALSE)</f>
        <v>Swati Yadav</v>
      </c>
      <c r="C22" t="str">
        <f>IF(COUNTBLANK(Faculty_Workload!C22)=0,Faculty_Workload!C22,"Unknown")</f>
        <v>CSE</v>
      </c>
      <c r="D22" t="str">
        <f>VLOOKUP(A22,Faculty_Workload!A:P,4,FALSE)</f>
        <v>Lecturer</v>
      </c>
      <c r="E22">
        <f>VLOOKUP(A22,Faculty_Workload!A:P,5,FALSE)</f>
        <v>8</v>
      </c>
      <c r="F22">
        <f>VLOOKUP(A22,Faculty_Workload!A:P,6,FALSE)</f>
        <v>2</v>
      </c>
      <c r="G22">
        <f>VLOOKUP(A22,Faculty_Workload!A:P,7,FALSE)</f>
        <v>12</v>
      </c>
      <c r="H22">
        <f>VLOOKUP(A22,Faculty_Workload!A:P,8,FALSE)</f>
        <v>3</v>
      </c>
      <c r="I22">
        <f>VLOOKUP(A22,Faculty_Workload!A:P,9,FALSE)</f>
        <v>15</v>
      </c>
      <c r="J22">
        <f>VLOOKUP(A22,Faculty_Workload!A:P,10,FALSE)</f>
        <v>20</v>
      </c>
      <c r="K22" t="str">
        <f t="shared" si="0"/>
        <v>Underworked</v>
      </c>
      <c r="L22" t="str">
        <f>VLOOKUP(A22,Faculty_Workload!A:P,12,FALSE)</f>
        <v>Sports Cell</v>
      </c>
      <c r="N22" t="str">
        <f>VLOOKUP(A22,Faculty_Workload!A:P,14,FALSE)</f>
        <v>Even</v>
      </c>
      <c r="O22" t="str">
        <f>VLOOKUP(A22,Faculty_Workload!A:P,15,FALSE)</f>
        <v>2023-24</v>
      </c>
    </row>
    <row r="23" spans="1:15" x14ac:dyDescent="0.3">
      <c r="A23" t="str">
        <f>VLOOKUP(Faculty_Workload!A23,Faculty_Workload!A:P,1,FALSE)</f>
        <v>FAC1022</v>
      </c>
      <c r="B23" t="str">
        <f>VLOOKUP(A23,Faculty_Workload!A:P,2,FALSE)</f>
        <v>Anita Tiwari</v>
      </c>
      <c r="C23" t="str">
        <f>IF(COUNTBLANK(Faculty_Workload!C23)=0,Faculty_Workload!C23,"Unknown")</f>
        <v>Unknown</v>
      </c>
      <c r="D23" t="str">
        <f>VLOOKUP(A23,Faculty_Workload!A:P,4,FALSE)</f>
        <v>Lecturer</v>
      </c>
      <c r="E23">
        <f>VLOOKUP(A23,Faculty_Workload!A:P,5,FALSE)</f>
        <v>3</v>
      </c>
      <c r="F23">
        <f>VLOOKUP(A23,Faculty_Workload!A:P,6,FALSE)</f>
        <v>1</v>
      </c>
      <c r="G23">
        <f>VLOOKUP(A23,Faculty_Workload!A:P,7,FALSE)</f>
        <v>14</v>
      </c>
      <c r="H23">
        <f>VLOOKUP(A23,Faculty_Workload!A:P,8,FALSE)</f>
        <v>6</v>
      </c>
      <c r="I23">
        <f>VLOOKUP(A23,Faculty_Workload!A:P,9,FALSE)</f>
        <v>20</v>
      </c>
      <c r="J23">
        <f>VLOOKUP(A23,Faculty_Workload!A:P,10,FALSE)</f>
        <v>20</v>
      </c>
      <c r="K23" t="str">
        <f t="shared" si="0"/>
        <v>Normal</v>
      </c>
      <c r="L23" t="str">
        <f>VLOOKUP(A23,Faculty_Workload!A:P,12,FALSE)</f>
        <v>Exam Cell</v>
      </c>
      <c r="N23" t="str">
        <f>VLOOKUP(A23,Faculty_Workload!A:P,14,FALSE)</f>
        <v>Even</v>
      </c>
      <c r="O23" t="str">
        <f>VLOOKUP(A23,Faculty_Workload!A:P,15,FALSE)</f>
        <v>2024-25</v>
      </c>
    </row>
    <row r="24" spans="1:15" x14ac:dyDescent="0.3">
      <c r="A24" t="str">
        <f>VLOOKUP(Faculty_Workload!A24,Faculty_Workload!A:P,1,FALSE)</f>
        <v>FAC1023</v>
      </c>
      <c r="B24" t="str">
        <f>VLOOKUP(A24,Faculty_Workload!A:P,2,FALSE)</f>
        <v>Pooja Dubey</v>
      </c>
      <c r="C24" t="str">
        <f>IF(COUNTBLANK(Faculty_Workload!C24)=0,Faculty_Workload!C24,"Unknown")</f>
        <v>ECE</v>
      </c>
      <c r="D24" t="str">
        <f>VLOOKUP(A24,Faculty_Workload!A:P,4,FALSE)</f>
        <v>Professor</v>
      </c>
      <c r="E24">
        <f>VLOOKUP(A24,Faculty_Workload!A:P,5,FALSE)</f>
        <v>24</v>
      </c>
      <c r="F24">
        <f>VLOOKUP(A24,Faculty_Workload!A:P,6,FALSE)</f>
        <v>1</v>
      </c>
      <c r="G24">
        <f>VLOOKUP(A24,Faculty_Workload!A:P,7,FALSE)</f>
        <v>17</v>
      </c>
      <c r="H24">
        <f>VLOOKUP(A24,Faculty_Workload!A:P,8,FALSE)</f>
        <v>5</v>
      </c>
      <c r="I24">
        <f>VLOOKUP(A24,Faculty_Workload!A:P,9,FALSE)</f>
        <v>22</v>
      </c>
      <c r="J24">
        <f>VLOOKUP(A24,Faculty_Workload!A:P,10,FALSE)</f>
        <v>18</v>
      </c>
      <c r="K24" t="str">
        <f t="shared" si="0"/>
        <v>Overworked</v>
      </c>
      <c r="L24" t="str">
        <f>VLOOKUP(A24,Faculty_Workload!A:P,12,FALSE)</f>
        <v>None</v>
      </c>
      <c r="N24" t="str">
        <f>VLOOKUP(A24,Faculty_Workload!A:P,14,FALSE)</f>
        <v>Odd</v>
      </c>
      <c r="O24" t="str">
        <f>VLOOKUP(A24,Faculty_Workload!A:P,15,FALSE)</f>
        <v>2023-24</v>
      </c>
    </row>
    <row r="25" spans="1:15" x14ac:dyDescent="0.3">
      <c r="A25" t="str">
        <f>VLOOKUP(Faculty_Workload!A25,Faculty_Workload!A:P,1,FALSE)</f>
        <v>FAC1024</v>
      </c>
      <c r="B25" t="str">
        <f>VLOOKUP(A25,Faculty_Workload!A:P,2,FALSE)</f>
        <v>Dinesh Singh</v>
      </c>
      <c r="C25" t="str">
        <f>IF(COUNTBLANK(Faculty_Workload!C25)=0,Faculty_Workload!C25,"Unknown")</f>
        <v>MBA</v>
      </c>
      <c r="D25" t="str">
        <f>VLOOKUP(A25,Faculty_Workload!A:P,4,FALSE)</f>
        <v>Senior Lecturer</v>
      </c>
      <c r="E25">
        <f>VLOOKUP(A25,Faculty_Workload!A:P,5,FALSE)</f>
        <v>6</v>
      </c>
      <c r="F25">
        <f>VLOOKUP(A25,Faculty_Workload!A:P,6,FALSE)</f>
        <v>2</v>
      </c>
      <c r="G25">
        <f>VLOOKUP(A25,Faculty_Workload!A:P,7,FALSE)</f>
        <v>9</v>
      </c>
      <c r="H25">
        <f>VLOOKUP(A25,Faculty_Workload!A:P,8,FALSE)</f>
        <v>5</v>
      </c>
      <c r="I25">
        <f>VLOOKUP(A25,Faculty_Workload!A:P,9,FALSE)</f>
        <v>14</v>
      </c>
      <c r="J25">
        <f>VLOOKUP(A25,Faculty_Workload!A:P,10,FALSE)</f>
        <v>20</v>
      </c>
      <c r="K25" t="str">
        <f t="shared" si="0"/>
        <v>Underworked</v>
      </c>
      <c r="L25" t="str">
        <f>VLOOKUP(A25,Faculty_Workload!A:P,12,FALSE)</f>
        <v>Exam Cell</v>
      </c>
      <c r="N25" t="str">
        <f>VLOOKUP(A25,Faculty_Workload!A:P,14,FALSE)</f>
        <v>Odd</v>
      </c>
      <c r="O25" t="str">
        <f>VLOOKUP(A25,Faculty_Workload!A:P,15,FALSE)</f>
        <v>2024-25</v>
      </c>
    </row>
    <row r="26" spans="1:15" x14ac:dyDescent="0.3">
      <c r="A26" t="str">
        <f>VLOOKUP(Faculty_Workload!A26,Faculty_Workload!A:P,1,FALSE)</f>
        <v>FAC1025</v>
      </c>
      <c r="B26" t="str">
        <f>VLOOKUP(A26,Faculty_Workload!A:P,2,FALSE)</f>
        <v>Suresh Agarwal</v>
      </c>
      <c r="C26" t="str">
        <f>IF(COUNTBLANK(Faculty_Workload!C26)=0,Faculty_Workload!C26,"Unknown")</f>
        <v>CSE</v>
      </c>
      <c r="D26" t="str">
        <f>VLOOKUP(A26,Faculty_Workload!A:P,4,FALSE)</f>
        <v>Professor</v>
      </c>
      <c r="E26">
        <f>VLOOKUP(A26,Faculty_Workload!A:P,5,FALSE)</f>
        <v>17</v>
      </c>
      <c r="F26">
        <f>VLOOKUP(A26,Faculty_Workload!A:P,6,FALSE)</f>
        <v>4</v>
      </c>
      <c r="G26">
        <f>VLOOKUP(A26,Faculty_Workload!A:P,7,FALSE)</f>
        <v>16</v>
      </c>
      <c r="H26">
        <f>VLOOKUP(A26,Faculty_Workload!A:P,8,FALSE)</f>
        <v>3</v>
      </c>
      <c r="I26">
        <f>VLOOKUP(A26,Faculty_Workload!A:P,9,FALSE)</f>
        <v>19</v>
      </c>
      <c r="J26">
        <f>VLOOKUP(A26,Faculty_Workload!A:P,10,FALSE)</f>
        <v>18</v>
      </c>
      <c r="K26" t="str">
        <f t="shared" si="0"/>
        <v>Overworked</v>
      </c>
      <c r="L26" t="str">
        <f>VLOOKUP(A26,Faculty_Workload!A:P,12,FALSE)</f>
        <v>Exam Cell</v>
      </c>
      <c r="N26" t="str">
        <f>VLOOKUP(A26,Faculty_Workload!A:P,14,FALSE)</f>
        <v>Odd</v>
      </c>
      <c r="O26" t="str">
        <f>VLOOKUP(A26,Faculty_Workload!A:P,15,FALSE)</f>
        <v>2024-25</v>
      </c>
    </row>
    <row r="27" spans="1:15" x14ac:dyDescent="0.3">
      <c r="A27" t="str">
        <f>VLOOKUP(Faculty_Workload!A27,Faculty_Workload!A:P,1,FALSE)</f>
        <v>FAC1026</v>
      </c>
      <c r="B27" t="str">
        <f>VLOOKUP(A27,Faculty_Workload!A:P,2,FALSE)</f>
        <v>Dinesh Patel</v>
      </c>
      <c r="C27" t="str">
        <f>IF(COUNTBLANK(Faculty_Workload!C27)=0,Faculty_Workload!C27,"Unknown")</f>
        <v>EEE</v>
      </c>
      <c r="D27" t="str">
        <f>VLOOKUP(A27,Faculty_Workload!A:P,4,FALSE)</f>
        <v>Assistant Professor</v>
      </c>
      <c r="E27">
        <f>VLOOKUP(A27,Faculty_Workload!A:P,5,FALSE)</f>
        <v>14</v>
      </c>
      <c r="F27">
        <f>VLOOKUP(A27,Faculty_Workload!A:P,6,FALSE)</f>
        <v>4</v>
      </c>
      <c r="G27">
        <f>VLOOKUP(A27,Faculty_Workload!A:P,7,FALSE)</f>
        <v>15</v>
      </c>
      <c r="H27">
        <f>VLOOKUP(A27,Faculty_Workload!A:P,8,FALSE)</f>
        <v>3</v>
      </c>
      <c r="I27">
        <f>VLOOKUP(A27,Faculty_Workload!A:P,9,FALSE)</f>
        <v>18</v>
      </c>
      <c r="J27">
        <f>VLOOKUP(A27,Faculty_Workload!A:P,10,FALSE)</f>
        <v>20</v>
      </c>
      <c r="K27" t="str">
        <f t="shared" si="0"/>
        <v>Underworked</v>
      </c>
      <c r="L27" t="str">
        <f>VLOOKUP(A27,Faculty_Workload!A:P,12,FALSE)</f>
        <v>None</v>
      </c>
      <c r="N27" t="str">
        <f>VLOOKUP(A27,Faculty_Workload!A:P,14,FALSE)</f>
        <v>Even</v>
      </c>
      <c r="O27" t="str">
        <f>VLOOKUP(A27,Faculty_Workload!A:P,15,FALSE)</f>
        <v>2025-26</v>
      </c>
    </row>
    <row r="28" spans="1:15" x14ac:dyDescent="0.3">
      <c r="A28" t="str">
        <f>VLOOKUP(Faculty_Workload!A28,Faculty_Workload!A:P,1,FALSE)</f>
        <v>FAC1027</v>
      </c>
      <c r="B28" t="str">
        <f>VLOOKUP(A28,Faculty_Workload!A:P,2,FALSE)</f>
        <v>Mohan Kumar</v>
      </c>
      <c r="C28" t="str">
        <f>IF(COUNTBLANK(Faculty_Workload!C28)=0,Faculty_Workload!C28,"Unknown")</f>
        <v>ECE</v>
      </c>
      <c r="D28" t="str">
        <f>VLOOKUP(A28,Faculty_Workload!A:P,4,FALSE)</f>
        <v>Senior Lecturer</v>
      </c>
      <c r="E28">
        <f>VLOOKUP(A28,Faculty_Workload!A:P,5,FALSE)</f>
        <v>14</v>
      </c>
      <c r="F28">
        <f>VLOOKUP(A28,Faculty_Workload!A:P,6,FALSE)</f>
        <v>2</v>
      </c>
      <c r="G28">
        <f>VLOOKUP(A28,Faculty_Workload!A:P,7,FALSE)</f>
        <v>16</v>
      </c>
      <c r="H28">
        <f>VLOOKUP(A28,Faculty_Workload!A:P,8,FALSE)</f>
        <v>2</v>
      </c>
      <c r="I28">
        <f>VLOOKUP(A28,Faculty_Workload!A:P,9,FALSE)</f>
        <v>18</v>
      </c>
      <c r="J28">
        <f>VLOOKUP(A28,Faculty_Workload!A:P,10,FALSE)</f>
        <v>20</v>
      </c>
      <c r="K28" t="str">
        <f t="shared" si="0"/>
        <v>Underworked</v>
      </c>
      <c r="L28" t="str">
        <f>VLOOKUP(A28,Faculty_Workload!A:P,12,FALSE)</f>
        <v>None</v>
      </c>
      <c r="N28" t="str">
        <f>VLOOKUP(A28,Faculty_Workload!A:P,14,FALSE)</f>
        <v>Odd</v>
      </c>
      <c r="O28" t="str">
        <f>VLOOKUP(A28,Faculty_Workload!A:P,15,FALSE)</f>
        <v>2024-25</v>
      </c>
    </row>
    <row r="29" spans="1:15" x14ac:dyDescent="0.3">
      <c r="A29" t="str">
        <f>VLOOKUP(Faculty_Workload!A29,Faculty_Workload!A:P,1,FALSE)</f>
        <v>FAC1028</v>
      </c>
      <c r="B29" t="str">
        <f>VLOOKUP(A29,Faculty_Workload!A:P,2,FALSE)</f>
        <v>Kavya Joshi</v>
      </c>
      <c r="C29" t="str">
        <f>IF(COUNTBLANK(Faculty_Workload!C29)=0,Faculty_Workload!C29,"Unknown")</f>
        <v>MCA</v>
      </c>
      <c r="D29" t="str">
        <f>VLOOKUP(A29,Faculty_Workload!A:P,4,FALSE)</f>
        <v>Associate Professor</v>
      </c>
      <c r="E29">
        <f>VLOOKUP(A29,Faculty_Workload!A:P,5,FALSE)</f>
        <v>15</v>
      </c>
      <c r="F29">
        <f>VLOOKUP(A29,Faculty_Workload!A:P,6,FALSE)</f>
        <v>3</v>
      </c>
      <c r="G29">
        <f>VLOOKUP(A29,Faculty_Workload!A:P,7,FALSE)</f>
        <v>15</v>
      </c>
      <c r="H29">
        <f>VLOOKUP(A29,Faculty_Workload!A:P,8,FALSE)</f>
        <v>0</v>
      </c>
      <c r="I29">
        <f>VLOOKUP(A29,Faculty_Workload!A:P,9,FALSE)</f>
        <v>15</v>
      </c>
      <c r="J29">
        <f>VLOOKUP(A29,Faculty_Workload!A:P,10,FALSE)</f>
        <v>20</v>
      </c>
      <c r="K29" t="str">
        <f t="shared" si="0"/>
        <v>Underworked</v>
      </c>
      <c r="L29" t="str">
        <f>VLOOKUP(A29,Faculty_Workload!A:P,12,FALSE)</f>
        <v>Exam Cell</v>
      </c>
      <c r="N29" t="str">
        <f>VLOOKUP(A29,Faculty_Workload!A:P,14,FALSE)</f>
        <v>Even</v>
      </c>
      <c r="O29" t="str">
        <f>VLOOKUP(A29,Faculty_Workload!A:P,15,FALSE)</f>
        <v>2024-25</v>
      </c>
    </row>
    <row r="30" spans="1:15" x14ac:dyDescent="0.3">
      <c r="A30" t="str">
        <f>VLOOKUP(Faculty_Workload!A30,Faculty_Workload!A:P,1,FALSE)</f>
        <v>FAC1029</v>
      </c>
      <c r="B30" t="str">
        <f>VLOOKUP(A30,Faculty_Workload!A:P,2,FALSE)</f>
        <v>Rajesh Tiwari</v>
      </c>
      <c r="C30" t="str">
        <f>IF(COUNTBLANK(Faculty_Workload!C30)=0,Faculty_Workload!C30,"Unknown")</f>
        <v>MCA</v>
      </c>
      <c r="D30" t="str">
        <f>VLOOKUP(A30,Faculty_Workload!A:P,4,FALSE)</f>
        <v>Professor</v>
      </c>
      <c r="E30">
        <f>VLOOKUP(A30,Faculty_Workload!A:P,5,FALSE)</f>
        <v>26</v>
      </c>
      <c r="F30">
        <f>VLOOKUP(A30,Faculty_Workload!A:P,6,FALSE)</f>
        <v>2</v>
      </c>
      <c r="G30">
        <f>VLOOKUP(A30,Faculty_Workload!A:P,7,FALSE)</f>
        <v>8</v>
      </c>
      <c r="H30">
        <f>VLOOKUP(A30,Faculty_Workload!A:P,8,FALSE)</f>
        <v>1</v>
      </c>
      <c r="I30">
        <f>VLOOKUP(A30,Faculty_Workload!A:P,9,FALSE)</f>
        <v>9</v>
      </c>
      <c r="J30">
        <f>VLOOKUP(A30,Faculty_Workload!A:P,10,FALSE)</f>
        <v>18</v>
      </c>
      <c r="K30" t="str">
        <f t="shared" si="0"/>
        <v>Underworked</v>
      </c>
      <c r="L30" t="str">
        <f>VLOOKUP(A30,Faculty_Workload!A:P,12,FALSE)</f>
        <v>Time Table Committee</v>
      </c>
      <c r="N30" t="str">
        <f>VLOOKUP(A30,Faculty_Workload!A:P,14,FALSE)</f>
        <v>Even</v>
      </c>
      <c r="O30" t="str">
        <f>VLOOKUP(A30,Faculty_Workload!A:P,15,FALSE)</f>
        <v>2023-24</v>
      </c>
    </row>
    <row r="31" spans="1:15" x14ac:dyDescent="0.3">
      <c r="A31" t="str">
        <f>VLOOKUP(Faculty_Workload!A31,Faculty_Workload!A:P,1,FALSE)</f>
        <v>FAC1030</v>
      </c>
      <c r="B31" t="str">
        <f>VLOOKUP(A31,Faculty_Workload!A:P,2,FALSE)</f>
        <v>Meena Dubey</v>
      </c>
      <c r="C31" t="str">
        <f>IF(COUNTBLANK(Faculty_Workload!C31)=0,Faculty_Workload!C31,"Unknown")</f>
        <v>IT</v>
      </c>
      <c r="D31" t="str">
        <f>VLOOKUP(A31,Faculty_Workload!A:P,4,FALSE)</f>
        <v>Professor</v>
      </c>
      <c r="E31">
        <f>VLOOKUP(A31,Faculty_Workload!A:P,5,FALSE)</f>
        <v>19</v>
      </c>
      <c r="F31">
        <f>VLOOKUP(A31,Faculty_Workload!A:P,6,FALSE)</f>
        <v>1</v>
      </c>
      <c r="G31">
        <f>VLOOKUP(A31,Faculty_Workload!A:P,7,FALSE)</f>
        <v>17</v>
      </c>
      <c r="H31">
        <f>VLOOKUP(A31,Faculty_Workload!A:P,8,FALSE)</f>
        <v>1</v>
      </c>
      <c r="I31">
        <f>VLOOKUP(A31,Faculty_Workload!A:P,9,FALSE)</f>
        <v>18</v>
      </c>
      <c r="J31">
        <f>VLOOKUP(A31,Faculty_Workload!A:P,10,FALSE)</f>
        <v>18</v>
      </c>
      <c r="K31" t="str">
        <f t="shared" si="0"/>
        <v>Normal</v>
      </c>
      <c r="L31" t="str">
        <f>VLOOKUP(A31,Faculty_Workload!A:P,12,FALSE)</f>
        <v>Time Table Committee</v>
      </c>
      <c r="N31" t="str">
        <f>VLOOKUP(A31,Faculty_Workload!A:P,14,FALSE)</f>
        <v>Even</v>
      </c>
      <c r="O31" t="str">
        <f>VLOOKUP(A31,Faculty_Workload!A:P,15,FALSE)</f>
        <v>2024-25</v>
      </c>
    </row>
    <row r="32" spans="1:15" x14ac:dyDescent="0.3">
      <c r="A32" t="str">
        <f>VLOOKUP(Faculty_Workload!A32,Faculty_Workload!A:P,1,FALSE)</f>
        <v>FAC1031</v>
      </c>
      <c r="B32" t="str">
        <f>VLOOKUP(A32,Faculty_Workload!A:P,2,FALSE)</f>
        <v>Prakash Singh</v>
      </c>
      <c r="C32" t="str">
        <f>IF(COUNTBLANK(Faculty_Workload!C32)=0,Faculty_Workload!C32,"Unknown")</f>
        <v>IT</v>
      </c>
      <c r="D32" t="str">
        <f>VLOOKUP(A32,Faculty_Workload!A:P,4,FALSE)</f>
        <v>Senior Lecturer</v>
      </c>
      <c r="E32">
        <f>VLOOKUP(A32,Faculty_Workload!A:P,5,FALSE)</f>
        <v>21</v>
      </c>
      <c r="F32">
        <f>VLOOKUP(A32,Faculty_Workload!A:P,6,FALSE)</f>
        <v>3</v>
      </c>
      <c r="G32">
        <f>VLOOKUP(A32,Faculty_Workload!A:P,7,FALSE)</f>
        <v>11</v>
      </c>
      <c r="H32">
        <f>VLOOKUP(A32,Faculty_Workload!A:P,8,FALSE)</f>
        <v>0</v>
      </c>
      <c r="I32">
        <f>VLOOKUP(A32,Faculty_Workload!A:P,9,FALSE)</f>
        <v>11</v>
      </c>
      <c r="J32">
        <f>VLOOKUP(A32,Faculty_Workload!A:P,10,FALSE)</f>
        <v>20</v>
      </c>
      <c r="K32" t="str">
        <f t="shared" si="0"/>
        <v>Underworked</v>
      </c>
      <c r="L32" t="str">
        <f>VLOOKUP(A32,Faculty_Workload!A:P,12,FALSE)</f>
        <v>Time Table Committee</v>
      </c>
      <c r="N32" t="str">
        <f>VLOOKUP(A32,Faculty_Workload!A:P,14,FALSE)</f>
        <v>Even</v>
      </c>
      <c r="O32" t="str">
        <f>VLOOKUP(A32,Faculty_Workload!A:P,15,FALSE)</f>
        <v>2025-26</v>
      </c>
    </row>
    <row r="33" spans="1:15" x14ac:dyDescent="0.3">
      <c r="A33" t="str">
        <f>VLOOKUP(Faculty_Workload!A33,Faculty_Workload!A:P,1,FALSE)</f>
        <v>FAC1032</v>
      </c>
      <c r="B33" t="str">
        <f>VLOOKUP(A33,Faculty_Workload!A:P,2,FALSE)</f>
        <v>Deepak Dubey</v>
      </c>
      <c r="C33" t="str">
        <f>IF(COUNTBLANK(Faculty_Workload!C33)=0,Faculty_Workload!C33,"Unknown")</f>
        <v>EEE</v>
      </c>
      <c r="D33" t="str">
        <f>VLOOKUP(A33,Faculty_Workload!A:P,4,FALSE)</f>
        <v>Senior Lecturer</v>
      </c>
      <c r="E33">
        <f>VLOOKUP(A33,Faculty_Workload!A:P,5,FALSE)</f>
        <v>20</v>
      </c>
      <c r="F33">
        <f>VLOOKUP(A33,Faculty_Workload!A:P,6,FALSE)</f>
        <v>3</v>
      </c>
      <c r="G33">
        <f>VLOOKUP(A33,Faculty_Workload!A:P,7,FALSE)</f>
        <v>15</v>
      </c>
      <c r="H33">
        <f>VLOOKUP(A33,Faculty_Workload!A:P,8,FALSE)</f>
        <v>1</v>
      </c>
      <c r="I33">
        <f>VLOOKUP(A33,Faculty_Workload!A:P,9,FALSE)</f>
        <v>16</v>
      </c>
      <c r="J33">
        <f>VLOOKUP(A33,Faculty_Workload!A:P,10,FALSE)</f>
        <v>20</v>
      </c>
      <c r="K33" t="str">
        <f t="shared" si="0"/>
        <v>Underworked</v>
      </c>
      <c r="L33" t="str">
        <f>VLOOKUP(A33,Faculty_Workload!A:P,12,FALSE)</f>
        <v>Library Committee</v>
      </c>
      <c r="N33" t="str">
        <f>VLOOKUP(A33,Faculty_Workload!A:P,14,FALSE)</f>
        <v>Odd</v>
      </c>
      <c r="O33" t="str">
        <f>VLOOKUP(A33,Faculty_Workload!A:P,15,FALSE)</f>
        <v>2024-25</v>
      </c>
    </row>
    <row r="34" spans="1:15" x14ac:dyDescent="0.3">
      <c r="A34" t="str">
        <f>VLOOKUP(Faculty_Workload!A34,Faculty_Workload!A:P,1,FALSE)</f>
        <v>FAC1033</v>
      </c>
      <c r="B34" t="str">
        <f>VLOOKUP(A34,Faculty_Workload!A:P,2,FALSE)</f>
        <v>Rajesh Dubey</v>
      </c>
      <c r="C34" t="str">
        <f>IF(COUNTBLANK(Faculty_Workload!C34)=0,Faculty_Workload!C34,"Unknown")</f>
        <v>IT</v>
      </c>
      <c r="D34" t="str">
        <f>VLOOKUP(A34,Faculty_Workload!A:P,4,FALSE)</f>
        <v>Professor</v>
      </c>
      <c r="E34">
        <f>VLOOKUP(A34,Faculty_Workload!A:P,5,FALSE)</f>
        <v>3</v>
      </c>
      <c r="F34">
        <f>VLOOKUP(A34,Faculty_Workload!A:P,6,FALSE)</f>
        <v>3</v>
      </c>
      <c r="G34">
        <f>VLOOKUP(A34,Faculty_Workload!A:P,7,FALSE)</f>
        <v>12</v>
      </c>
      <c r="H34">
        <f>VLOOKUP(A34,Faculty_Workload!A:P,8,FALSE)</f>
        <v>6</v>
      </c>
      <c r="I34">
        <f>VLOOKUP(A34,Faculty_Workload!A:P,9,FALSE)</f>
        <v>18</v>
      </c>
      <c r="J34">
        <f>VLOOKUP(A34,Faculty_Workload!A:P,10,FALSE)</f>
        <v>18</v>
      </c>
      <c r="K34" t="str">
        <f t="shared" si="0"/>
        <v>Normal</v>
      </c>
      <c r="L34" t="str">
        <f>VLOOKUP(A34,Faculty_Workload!A:P,12,FALSE)</f>
        <v>Time Table Committee</v>
      </c>
      <c r="N34" t="str">
        <f>VLOOKUP(A34,Faculty_Workload!A:P,14,FALSE)</f>
        <v>Even</v>
      </c>
      <c r="O34" t="str">
        <f>VLOOKUP(A34,Faculty_Workload!A:P,15,FALSE)</f>
        <v>2025-26</v>
      </c>
    </row>
    <row r="35" spans="1:15" x14ac:dyDescent="0.3">
      <c r="A35" t="str">
        <f>VLOOKUP(Faculty_Workload!A35,Faculty_Workload!A:P,1,FALSE)</f>
        <v>FAC1034</v>
      </c>
      <c r="B35" t="str">
        <f>VLOOKUP(A35,Faculty_Workload!A:P,2,FALSE)</f>
        <v>Suresh Dubey</v>
      </c>
      <c r="C35" t="str">
        <f>IF(COUNTBLANK(Faculty_Workload!C35)=0,Faculty_Workload!C35,"Unknown")</f>
        <v>ME</v>
      </c>
      <c r="D35" t="str">
        <f>VLOOKUP(A35,Faculty_Workload!A:P,4,FALSE)</f>
        <v>Associate Professor</v>
      </c>
      <c r="E35">
        <f>VLOOKUP(A35,Faculty_Workload!A:P,5,FALSE)</f>
        <v>1</v>
      </c>
      <c r="F35">
        <f>VLOOKUP(A35,Faculty_Workload!A:P,6,FALSE)</f>
        <v>3</v>
      </c>
      <c r="G35">
        <f>VLOOKUP(A35,Faculty_Workload!A:P,7,FALSE)</f>
        <v>16</v>
      </c>
      <c r="H35">
        <f>VLOOKUP(A35,Faculty_Workload!A:P,8,FALSE)</f>
        <v>4</v>
      </c>
      <c r="I35">
        <f>VLOOKUP(A35,Faculty_Workload!A:P,9,FALSE)</f>
        <v>20</v>
      </c>
      <c r="J35">
        <f>VLOOKUP(A35,Faculty_Workload!A:P,10,FALSE)</f>
        <v>20</v>
      </c>
      <c r="K35" t="str">
        <f t="shared" si="0"/>
        <v>Normal</v>
      </c>
      <c r="L35" t="str">
        <f>VLOOKUP(A35,Faculty_Workload!A:P,12,FALSE)</f>
        <v>Time Table Committee</v>
      </c>
      <c r="N35" t="str">
        <f>VLOOKUP(A35,Faculty_Workload!A:P,14,FALSE)</f>
        <v>Odd</v>
      </c>
      <c r="O35" t="str">
        <f>VLOOKUP(A35,Faculty_Workload!A:P,15,FALSE)</f>
        <v>2025-26</v>
      </c>
    </row>
    <row r="36" spans="1:15" x14ac:dyDescent="0.3">
      <c r="A36" t="str">
        <f>VLOOKUP(Faculty_Workload!A36,Faculty_Workload!A:P,1,FALSE)</f>
        <v>FAC1035</v>
      </c>
      <c r="B36" t="str">
        <f>VLOOKUP(A36,Faculty_Workload!A:P,2,FALSE)</f>
        <v>Kavya Mishra</v>
      </c>
      <c r="C36" t="str">
        <f>IF(COUNTBLANK(Faculty_Workload!C36)=0,Faculty_Workload!C36,"Unknown")</f>
        <v>MBA</v>
      </c>
      <c r="D36" t="str">
        <f>VLOOKUP(A36,Faculty_Workload!A:P,4,FALSE)</f>
        <v>Lecturer</v>
      </c>
      <c r="E36">
        <f>VLOOKUP(A36,Faculty_Workload!A:P,5,FALSE)</f>
        <v>25</v>
      </c>
      <c r="F36">
        <f>VLOOKUP(A36,Faculty_Workload!A:P,6,FALSE)</f>
        <v>4</v>
      </c>
      <c r="G36">
        <f>VLOOKUP(A36,Faculty_Workload!A:P,7,FALSE)</f>
        <v>17</v>
      </c>
      <c r="H36">
        <f>VLOOKUP(A36,Faculty_Workload!A:P,8,FALSE)</f>
        <v>0</v>
      </c>
      <c r="I36">
        <f>VLOOKUP(A36,Faculty_Workload!A:P,9,FALSE)</f>
        <v>17</v>
      </c>
      <c r="J36">
        <f>VLOOKUP(A36,Faculty_Workload!A:P,10,FALSE)</f>
        <v>20</v>
      </c>
      <c r="K36" t="str">
        <f t="shared" si="0"/>
        <v>Underworked</v>
      </c>
      <c r="L36" t="str">
        <f>VLOOKUP(A36,Faculty_Workload!A:P,12,FALSE)</f>
        <v>None</v>
      </c>
      <c r="N36" t="str">
        <f>VLOOKUP(A36,Faculty_Workload!A:P,14,FALSE)</f>
        <v>Odd</v>
      </c>
      <c r="O36" t="str">
        <f>VLOOKUP(A36,Faculty_Workload!A:P,15,FALSE)</f>
        <v>2024-25</v>
      </c>
    </row>
    <row r="37" spans="1:15" x14ac:dyDescent="0.3">
      <c r="A37" t="str">
        <f>VLOOKUP(Faculty_Workload!A37,Faculty_Workload!A:P,1,FALSE)</f>
        <v>FAC1036</v>
      </c>
      <c r="B37" t="str">
        <f>VLOOKUP(A37,Faculty_Workload!A:P,2,FALSE)</f>
        <v>Vikram Agarwal</v>
      </c>
      <c r="C37" t="str">
        <f>IF(COUNTBLANK(Faculty_Workload!C37)=0,Faculty_Workload!C37,"Unknown")</f>
        <v>ME</v>
      </c>
      <c r="D37" t="str">
        <f>VLOOKUP(A37,Faculty_Workload!A:P,4,FALSE)</f>
        <v>Associate Professor</v>
      </c>
      <c r="E37">
        <f>VLOOKUP(A37,Faculty_Workload!A:P,5,FALSE)</f>
        <v>17</v>
      </c>
      <c r="F37">
        <f>VLOOKUP(A37,Faculty_Workload!A:P,6,FALSE)</f>
        <v>1</v>
      </c>
      <c r="G37">
        <f>VLOOKUP(A37,Faculty_Workload!A:P,7,FALSE)</f>
        <v>9</v>
      </c>
      <c r="H37">
        <f>VLOOKUP(A37,Faculty_Workload!A:P,8,FALSE)</f>
        <v>4</v>
      </c>
      <c r="I37">
        <f>VLOOKUP(A37,Faculty_Workload!A:P,9,FALSE)</f>
        <v>13</v>
      </c>
      <c r="J37">
        <f>VLOOKUP(A37,Faculty_Workload!A:P,10,FALSE)</f>
        <v>20</v>
      </c>
      <c r="K37" t="str">
        <f t="shared" si="0"/>
        <v>Underworked</v>
      </c>
      <c r="L37" t="str">
        <f>VLOOKUP(A37,Faculty_Workload!A:P,12,FALSE)</f>
        <v>None</v>
      </c>
      <c r="N37" t="str">
        <f>VLOOKUP(A37,Faculty_Workload!A:P,14,FALSE)</f>
        <v>Odd</v>
      </c>
      <c r="O37" t="str">
        <f>VLOOKUP(A37,Faculty_Workload!A:P,15,FALSE)</f>
        <v>2023-24</v>
      </c>
    </row>
    <row r="38" spans="1:15" x14ac:dyDescent="0.3">
      <c r="A38" t="str">
        <f>VLOOKUP(Faculty_Workload!A38,Faculty_Workload!A:P,1,FALSE)</f>
        <v>FAC1037</v>
      </c>
      <c r="B38" t="str">
        <f>VLOOKUP(A38,Faculty_Workload!A:P,2,FALSE)</f>
        <v>Pooja Yadav</v>
      </c>
      <c r="C38" t="str">
        <f>IF(COUNTBLANK(Faculty_Workload!C38)=0,Faculty_Workload!C38,"Unknown")</f>
        <v>Unknown</v>
      </c>
      <c r="D38" t="str">
        <f>VLOOKUP(A38,Faculty_Workload!A:P,4,FALSE)</f>
        <v>Assistant Professor</v>
      </c>
      <c r="E38">
        <f>VLOOKUP(A38,Faculty_Workload!A:P,5,FALSE)</f>
        <v>7</v>
      </c>
      <c r="F38">
        <f>VLOOKUP(A38,Faculty_Workload!A:P,6,FALSE)</f>
        <v>3</v>
      </c>
      <c r="G38">
        <f>VLOOKUP(A38,Faculty_Workload!A:P,7,FALSE)</f>
        <v>10</v>
      </c>
      <c r="H38">
        <f>VLOOKUP(A38,Faculty_Workload!A:P,8,FALSE)</f>
        <v>5</v>
      </c>
      <c r="I38">
        <f>VLOOKUP(A38,Faculty_Workload!A:P,9,FALSE)</f>
        <v>15</v>
      </c>
      <c r="J38">
        <f>VLOOKUP(A38,Faculty_Workload!A:P,10,FALSE)</f>
        <v>20</v>
      </c>
      <c r="K38" t="str">
        <f t="shared" si="0"/>
        <v>Underworked</v>
      </c>
      <c r="L38" t="str">
        <f>VLOOKUP(A38,Faculty_Workload!A:P,12,FALSE)</f>
        <v>Research Cell</v>
      </c>
      <c r="N38" t="str">
        <f>VLOOKUP(A38,Faculty_Workload!A:P,14,FALSE)</f>
        <v>Odd</v>
      </c>
      <c r="O38" t="str">
        <f>VLOOKUP(A38,Faculty_Workload!A:P,15,FALSE)</f>
        <v>2025-26</v>
      </c>
    </row>
    <row r="39" spans="1:15" x14ac:dyDescent="0.3">
      <c r="A39" t="str">
        <f>VLOOKUP(Faculty_Workload!A39,Faculty_Workload!A:P,1,FALSE)</f>
        <v>FAC1038</v>
      </c>
      <c r="B39" t="str">
        <f>VLOOKUP(A39,Faculty_Workload!A:P,2,FALSE)</f>
        <v>Prakash Pandey</v>
      </c>
      <c r="C39" t="str">
        <f>IF(COUNTBLANK(Faculty_Workload!C39)=0,Faculty_Workload!C39,"Unknown")</f>
        <v>ME</v>
      </c>
      <c r="D39" t="str">
        <f>VLOOKUP(A39,Faculty_Workload!A:P,4,FALSE)</f>
        <v>Associate Professor</v>
      </c>
      <c r="E39">
        <f>VLOOKUP(A39,Faculty_Workload!A:P,5,FALSE)</f>
        <v>20</v>
      </c>
      <c r="F39">
        <f>VLOOKUP(A39,Faculty_Workload!A:P,6,FALSE)</f>
        <v>3</v>
      </c>
      <c r="G39">
        <f>VLOOKUP(A39,Faculty_Workload!A:P,7,FALSE)</f>
        <v>17</v>
      </c>
      <c r="H39">
        <f>VLOOKUP(A39,Faculty_Workload!A:P,8,FALSE)</f>
        <v>0</v>
      </c>
      <c r="I39">
        <f>VLOOKUP(A39,Faculty_Workload!A:P,9,FALSE)</f>
        <v>17</v>
      </c>
      <c r="J39">
        <f>VLOOKUP(A39,Faculty_Workload!A:P,10,FALSE)</f>
        <v>20</v>
      </c>
      <c r="K39" t="str">
        <f t="shared" si="0"/>
        <v>Underworked</v>
      </c>
      <c r="L39" t="str">
        <f>VLOOKUP(A39,Faculty_Workload!A:P,12,FALSE)</f>
        <v>None</v>
      </c>
      <c r="N39" t="str">
        <f>VLOOKUP(A39,Faculty_Workload!A:P,14,FALSE)</f>
        <v>Odd</v>
      </c>
      <c r="O39" t="str">
        <f>VLOOKUP(A39,Faculty_Workload!A:P,15,FALSE)</f>
        <v>2023-24</v>
      </c>
    </row>
    <row r="40" spans="1:15" x14ac:dyDescent="0.3">
      <c r="A40" t="str">
        <f>VLOOKUP(Faculty_Workload!A40,Faculty_Workload!A:P,1,FALSE)</f>
        <v>FAC1039</v>
      </c>
      <c r="B40" t="str">
        <f>VLOOKUP(A40,Faculty_Workload!A:P,2,FALSE)</f>
        <v>Dinesh Gupta</v>
      </c>
      <c r="C40" t="str">
        <f>IF(COUNTBLANK(Faculty_Workload!C40)=0,Faculty_Workload!C40,"Unknown")</f>
        <v>MCA</v>
      </c>
      <c r="D40" t="str">
        <f>VLOOKUP(A40,Faculty_Workload!A:P,4,FALSE)</f>
        <v>Lecturer</v>
      </c>
      <c r="E40">
        <f>VLOOKUP(A40,Faculty_Workload!A:P,5,FALSE)</f>
        <v>1</v>
      </c>
      <c r="F40">
        <f>VLOOKUP(A40,Faculty_Workload!A:P,6,FALSE)</f>
        <v>4</v>
      </c>
      <c r="G40">
        <f>VLOOKUP(A40,Faculty_Workload!A:P,7,FALSE)</f>
        <v>18</v>
      </c>
      <c r="H40">
        <f>VLOOKUP(A40,Faculty_Workload!A:P,8,FALSE)</f>
        <v>4</v>
      </c>
      <c r="I40">
        <f>VLOOKUP(A40,Faculty_Workload!A:P,9,FALSE)</f>
        <v>22</v>
      </c>
      <c r="J40">
        <f>VLOOKUP(A40,Faculty_Workload!A:P,10,FALSE)</f>
        <v>20</v>
      </c>
      <c r="K40" t="str">
        <f t="shared" si="0"/>
        <v>Overworked</v>
      </c>
      <c r="L40" t="str">
        <f>VLOOKUP(A40,Faculty_Workload!A:P,12,FALSE)</f>
        <v>Sports Cell</v>
      </c>
      <c r="N40" t="str">
        <f>VLOOKUP(A40,Faculty_Workload!A:P,14,FALSE)</f>
        <v>Even</v>
      </c>
      <c r="O40" t="str">
        <f>VLOOKUP(A40,Faculty_Workload!A:P,15,FALSE)</f>
        <v>2023-24</v>
      </c>
    </row>
    <row r="41" spans="1:15" x14ac:dyDescent="0.3">
      <c r="A41" t="str">
        <f>VLOOKUP(Faculty_Workload!A41,Faculty_Workload!A:P,1,FALSE)</f>
        <v>FAC1040</v>
      </c>
      <c r="B41" t="str">
        <f>VLOOKUP(A41,Faculty_Workload!A:P,2,FALSE)</f>
        <v>Kavya Joshi</v>
      </c>
      <c r="C41" t="str">
        <f>IF(COUNTBLANK(Faculty_Workload!C41)=0,Faculty_Workload!C41,"Unknown")</f>
        <v>ECE</v>
      </c>
      <c r="D41" t="str">
        <f>VLOOKUP(A41,Faculty_Workload!A:P,4,FALSE)</f>
        <v>Assistant Professor</v>
      </c>
      <c r="E41">
        <f>VLOOKUP(A41,Faculty_Workload!A:P,5,FALSE)</f>
        <v>15</v>
      </c>
      <c r="F41">
        <f>VLOOKUP(A41,Faculty_Workload!A:P,6,FALSE)</f>
        <v>4</v>
      </c>
      <c r="G41">
        <f>VLOOKUP(A41,Faculty_Workload!A:P,7,FALSE)</f>
        <v>15</v>
      </c>
      <c r="H41">
        <f>VLOOKUP(A41,Faculty_Workload!A:P,8,FALSE)</f>
        <v>3</v>
      </c>
      <c r="I41">
        <f>VLOOKUP(A41,Faculty_Workload!A:P,9,FALSE)</f>
        <v>18</v>
      </c>
      <c r="J41">
        <f>VLOOKUP(A41,Faculty_Workload!A:P,10,FALSE)</f>
        <v>20</v>
      </c>
      <c r="K41" t="str">
        <f t="shared" si="0"/>
        <v>Underworked</v>
      </c>
      <c r="L41" t="str">
        <f>VLOOKUP(A41,Faculty_Workload!A:P,12,FALSE)</f>
        <v>None</v>
      </c>
      <c r="N41" t="str">
        <f>VLOOKUP(A41,Faculty_Workload!A:P,14,FALSE)</f>
        <v>Odd</v>
      </c>
      <c r="O41" t="str">
        <f>VLOOKUP(A41,Faculty_Workload!A:P,15,FALSE)</f>
        <v>2024-25</v>
      </c>
    </row>
    <row r="42" spans="1:15" x14ac:dyDescent="0.3">
      <c r="A42" t="str">
        <f>VLOOKUP(Faculty_Workload!A42,Faculty_Workload!A:P,1,FALSE)</f>
        <v>FAC1041</v>
      </c>
      <c r="B42" t="str">
        <f>VLOOKUP(A42,Faculty_Workload!A:P,2,FALSE)</f>
        <v>Uma Srivastava</v>
      </c>
      <c r="C42" t="str">
        <f>IF(COUNTBLANK(Faculty_Workload!C42)=0,Faculty_Workload!C42,"Unknown")</f>
        <v>IT</v>
      </c>
      <c r="D42" t="str">
        <f>VLOOKUP(A42,Faculty_Workload!A:P,4,FALSE)</f>
        <v>Senior Lecturer</v>
      </c>
      <c r="E42">
        <f>VLOOKUP(A42,Faculty_Workload!A:P,5,FALSE)</f>
        <v>25</v>
      </c>
      <c r="F42">
        <f>VLOOKUP(A42,Faculty_Workload!A:P,6,FALSE)</f>
        <v>3</v>
      </c>
      <c r="G42">
        <f>VLOOKUP(A42,Faculty_Workload!A:P,7,FALSE)</f>
        <v>16</v>
      </c>
      <c r="H42">
        <f>VLOOKUP(A42,Faculty_Workload!A:P,8,FALSE)</f>
        <v>4</v>
      </c>
      <c r="I42">
        <f>VLOOKUP(A42,Faculty_Workload!A:P,9,FALSE)</f>
        <v>20</v>
      </c>
      <c r="J42">
        <f>VLOOKUP(A42,Faculty_Workload!A:P,10,FALSE)</f>
        <v>20</v>
      </c>
      <c r="K42" t="str">
        <f t="shared" si="0"/>
        <v>Normal</v>
      </c>
      <c r="L42" t="str">
        <f>VLOOKUP(A42,Faculty_Workload!A:P,12,FALSE)</f>
        <v>None</v>
      </c>
      <c r="N42" t="str">
        <f>VLOOKUP(A42,Faculty_Workload!A:P,14,FALSE)</f>
        <v>Odd</v>
      </c>
      <c r="O42" t="str">
        <f>VLOOKUP(A42,Faculty_Workload!A:P,15,FALSE)</f>
        <v>2024-25</v>
      </c>
    </row>
    <row r="43" spans="1:15" x14ac:dyDescent="0.3">
      <c r="A43" t="str">
        <f>VLOOKUP(Faculty_Workload!A43,Faculty_Workload!A:P,1,FALSE)</f>
        <v>FAC1042</v>
      </c>
      <c r="B43" t="str">
        <f>VLOOKUP(A43,Faculty_Workload!A:P,2,FALSE)</f>
        <v>Arun Gupta</v>
      </c>
      <c r="C43" t="str">
        <f>IF(COUNTBLANK(Faculty_Workload!C43)=0,Faculty_Workload!C43,"Unknown")</f>
        <v>ME</v>
      </c>
      <c r="D43" t="str">
        <f>VLOOKUP(A43,Faculty_Workload!A:P,4,FALSE)</f>
        <v>Assistant Professor</v>
      </c>
      <c r="E43">
        <f>VLOOKUP(A43,Faculty_Workload!A:P,5,FALSE)</f>
        <v>10</v>
      </c>
      <c r="F43">
        <f>VLOOKUP(A43,Faculty_Workload!A:P,6,FALSE)</f>
        <v>4</v>
      </c>
      <c r="G43">
        <f>VLOOKUP(A43,Faculty_Workload!A:P,7,FALSE)</f>
        <v>17</v>
      </c>
      <c r="H43">
        <f>VLOOKUP(A43,Faculty_Workload!A:P,8,FALSE)</f>
        <v>3</v>
      </c>
      <c r="I43">
        <f>VLOOKUP(A43,Faculty_Workload!A:P,9,FALSE)</f>
        <v>20</v>
      </c>
      <c r="J43">
        <f>VLOOKUP(A43,Faculty_Workload!A:P,10,FALSE)</f>
        <v>20</v>
      </c>
      <c r="K43" t="str">
        <f t="shared" si="0"/>
        <v>Normal</v>
      </c>
      <c r="L43" t="str">
        <f>VLOOKUP(A43,Faculty_Workload!A:P,12,FALSE)</f>
        <v>None</v>
      </c>
      <c r="N43" t="str">
        <f>VLOOKUP(A43,Faculty_Workload!A:P,14,FALSE)</f>
        <v>Even</v>
      </c>
      <c r="O43" t="str">
        <f>VLOOKUP(A43,Faculty_Workload!A:P,15,FALSE)</f>
        <v>2025-26</v>
      </c>
    </row>
    <row r="44" spans="1:15" x14ac:dyDescent="0.3">
      <c r="A44" t="str">
        <f>VLOOKUP(Faculty_Workload!A44,Faculty_Workload!A:P,1,FALSE)</f>
        <v>FAC1043</v>
      </c>
      <c r="B44" t="str">
        <f>VLOOKUP(A44,Faculty_Workload!A:P,2,FALSE)</f>
        <v>Suresh Dubey</v>
      </c>
      <c r="C44" t="str">
        <f>IF(COUNTBLANK(Faculty_Workload!C44)=0,Faculty_Workload!C44,"Unknown")</f>
        <v>ME</v>
      </c>
      <c r="D44" t="str">
        <f>VLOOKUP(A44,Faculty_Workload!A:P,4,FALSE)</f>
        <v>Senior Lecturer</v>
      </c>
      <c r="E44">
        <f>VLOOKUP(A44,Faculty_Workload!A:P,5,FALSE)</f>
        <v>15</v>
      </c>
      <c r="F44">
        <f>VLOOKUP(A44,Faculty_Workload!A:P,6,FALSE)</f>
        <v>4</v>
      </c>
      <c r="G44">
        <f>VLOOKUP(A44,Faculty_Workload!A:P,7,FALSE)</f>
        <v>12</v>
      </c>
      <c r="H44">
        <f>VLOOKUP(A44,Faculty_Workload!A:P,8,FALSE)</f>
        <v>3</v>
      </c>
      <c r="I44">
        <f>VLOOKUP(A44,Faculty_Workload!A:P,9,FALSE)</f>
        <v>15</v>
      </c>
      <c r="J44">
        <f>VLOOKUP(A44,Faculty_Workload!A:P,10,FALSE)</f>
        <v>20</v>
      </c>
      <c r="K44" t="str">
        <f t="shared" si="0"/>
        <v>Underworked</v>
      </c>
      <c r="L44" t="str">
        <f>VLOOKUP(A44,Faculty_Workload!A:P,12,FALSE)</f>
        <v>None</v>
      </c>
      <c r="N44" t="str">
        <f>VLOOKUP(A44,Faculty_Workload!A:P,14,FALSE)</f>
        <v>Even</v>
      </c>
      <c r="O44" t="str">
        <f>VLOOKUP(A44,Faculty_Workload!A:P,15,FALSE)</f>
        <v>2025-26</v>
      </c>
    </row>
    <row r="45" spans="1:15" x14ac:dyDescent="0.3">
      <c r="A45" t="str">
        <f>VLOOKUP(Faculty_Workload!A45,Faculty_Workload!A:P,1,FALSE)</f>
        <v>FAC1044</v>
      </c>
      <c r="B45" t="str">
        <f>VLOOKUP(A45,Faculty_Workload!A:P,2,FALSE)</f>
        <v>Suresh Pandey</v>
      </c>
      <c r="C45" t="str">
        <f>IF(COUNTBLANK(Faculty_Workload!C45)=0,Faculty_Workload!C45,"Unknown")</f>
        <v>IT</v>
      </c>
      <c r="D45" t="str">
        <f>VLOOKUP(A45,Faculty_Workload!A:P,4,FALSE)</f>
        <v>Assistant Professor</v>
      </c>
      <c r="E45">
        <f>VLOOKUP(A45,Faculty_Workload!A:P,5,FALSE)</f>
        <v>10</v>
      </c>
      <c r="F45">
        <f>VLOOKUP(A45,Faculty_Workload!A:P,6,FALSE)</f>
        <v>4</v>
      </c>
      <c r="G45">
        <f>VLOOKUP(A45,Faculty_Workload!A:P,7,FALSE)</f>
        <v>17</v>
      </c>
      <c r="H45">
        <f>VLOOKUP(A45,Faculty_Workload!A:P,8,FALSE)</f>
        <v>6</v>
      </c>
      <c r="I45">
        <f>VLOOKUP(A45,Faculty_Workload!A:P,9,FALSE)</f>
        <v>23</v>
      </c>
      <c r="J45">
        <f>VLOOKUP(A45,Faculty_Workload!A:P,10,FALSE)</f>
        <v>20</v>
      </c>
      <c r="K45" t="str">
        <f t="shared" si="0"/>
        <v>Overworked</v>
      </c>
      <c r="L45" t="str">
        <f>VLOOKUP(A45,Faculty_Workload!A:P,12,FALSE)</f>
        <v>Time Table Committee</v>
      </c>
      <c r="N45" t="str">
        <f>VLOOKUP(A45,Faculty_Workload!A:P,14,FALSE)</f>
        <v>Even</v>
      </c>
      <c r="O45" t="str">
        <f>VLOOKUP(A45,Faculty_Workload!A:P,15,FALSE)</f>
        <v>2025-26</v>
      </c>
    </row>
    <row r="46" spans="1:15" x14ac:dyDescent="0.3">
      <c r="A46" t="str">
        <f>VLOOKUP(Faculty_Workload!A46,Faculty_Workload!A:P,1,FALSE)</f>
        <v>FAC1045</v>
      </c>
      <c r="B46" t="str">
        <f>VLOOKUP(A46,Faculty_Workload!A:P,2,FALSE)</f>
        <v>Nisha Singh</v>
      </c>
      <c r="C46" t="str">
        <f>IF(COUNTBLANK(Faculty_Workload!C46)=0,Faculty_Workload!C46,"Unknown")</f>
        <v>EEE</v>
      </c>
      <c r="D46" t="str">
        <f>VLOOKUP(A46,Faculty_Workload!A:P,4,FALSE)</f>
        <v>Professor</v>
      </c>
      <c r="E46">
        <f>VLOOKUP(A46,Faculty_Workload!A:P,5,FALSE)</f>
        <v>12</v>
      </c>
      <c r="F46">
        <f>VLOOKUP(A46,Faculty_Workload!A:P,6,FALSE)</f>
        <v>1</v>
      </c>
      <c r="G46">
        <f>VLOOKUP(A46,Faculty_Workload!A:P,7,FALSE)</f>
        <v>14</v>
      </c>
      <c r="H46">
        <f>VLOOKUP(A46,Faculty_Workload!A:P,8,FALSE)</f>
        <v>0</v>
      </c>
      <c r="I46">
        <f>VLOOKUP(A46,Faculty_Workload!A:P,9,FALSE)</f>
        <v>14</v>
      </c>
      <c r="J46">
        <f>VLOOKUP(A46,Faculty_Workload!A:P,10,FALSE)</f>
        <v>18</v>
      </c>
      <c r="K46" t="str">
        <f t="shared" si="0"/>
        <v>Underworked</v>
      </c>
      <c r="L46" t="str">
        <f>VLOOKUP(A46,Faculty_Workload!A:P,12,FALSE)</f>
        <v>None</v>
      </c>
      <c r="N46" t="str">
        <f>VLOOKUP(A46,Faculty_Workload!A:P,14,FALSE)</f>
        <v>Odd</v>
      </c>
      <c r="O46" t="str">
        <f>VLOOKUP(A46,Faculty_Workload!A:P,15,FALSE)</f>
        <v>2024-25</v>
      </c>
    </row>
    <row r="47" spans="1:15" x14ac:dyDescent="0.3">
      <c r="A47" t="str">
        <f>VLOOKUP(Faculty_Workload!A47,Faculty_Workload!A:P,1,FALSE)</f>
        <v>FAC1046</v>
      </c>
      <c r="B47" t="str">
        <f>VLOOKUP(A47,Faculty_Workload!A:P,2,FALSE)</f>
        <v>Rajesh Mishra</v>
      </c>
      <c r="C47" t="str">
        <f>IF(COUNTBLANK(Faculty_Workload!C47)=0,Faculty_Workload!C47,"Unknown")</f>
        <v>MBA</v>
      </c>
      <c r="D47" t="str">
        <f>VLOOKUP(A47,Faculty_Workload!A:P,4,FALSE)</f>
        <v>Lecturer</v>
      </c>
      <c r="E47">
        <f>VLOOKUP(A47,Faculty_Workload!A:P,5,FALSE)</f>
        <v>27</v>
      </c>
      <c r="F47">
        <f>VLOOKUP(A47,Faculty_Workload!A:P,6,FALSE)</f>
        <v>1</v>
      </c>
      <c r="G47">
        <f>VLOOKUP(A47,Faculty_Workload!A:P,7,FALSE)</f>
        <v>10</v>
      </c>
      <c r="H47">
        <f>VLOOKUP(A47,Faculty_Workload!A:P,8,FALSE)</f>
        <v>0</v>
      </c>
      <c r="I47">
        <f>VLOOKUP(A47,Faculty_Workload!A:P,9,FALSE)</f>
        <v>10</v>
      </c>
      <c r="J47">
        <f>VLOOKUP(A47,Faculty_Workload!A:P,10,FALSE)</f>
        <v>20</v>
      </c>
      <c r="K47" t="str">
        <f t="shared" si="0"/>
        <v>Underworked</v>
      </c>
      <c r="L47" t="str">
        <f>VLOOKUP(A47,Faculty_Workload!A:P,12,FALSE)</f>
        <v>Research Cell</v>
      </c>
      <c r="N47" t="str">
        <f>VLOOKUP(A47,Faculty_Workload!A:P,14,FALSE)</f>
        <v>Even</v>
      </c>
      <c r="O47" t="str">
        <f>VLOOKUP(A47,Faculty_Workload!A:P,15,FALSE)</f>
        <v>2025-26</v>
      </c>
    </row>
    <row r="48" spans="1:15" x14ac:dyDescent="0.3">
      <c r="A48" t="str">
        <f>VLOOKUP(Faculty_Workload!A48,Faculty_Workload!A:P,1,FALSE)</f>
        <v>FAC1047</v>
      </c>
      <c r="B48" t="str">
        <f>VLOOKUP(A48,Faculty_Workload!A:P,2,FALSE)</f>
        <v>Suresh Pandey</v>
      </c>
      <c r="C48" t="str">
        <f>IF(COUNTBLANK(Faculty_Workload!C48)=0,Faculty_Workload!C48,"Unknown")</f>
        <v>MCA</v>
      </c>
      <c r="D48" t="str">
        <f>VLOOKUP(A48,Faculty_Workload!A:P,4,FALSE)</f>
        <v>Lecturer</v>
      </c>
      <c r="E48">
        <f>VLOOKUP(A48,Faculty_Workload!A:P,5,FALSE)</f>
        <v>2</v>
      </c>
      <c r="F48">
        <f>VLOOKUP(A48,Faculty_Workload!A:P,6,FALSE)</f>
        <v>1</v>
      </c>
      <c r="G48">
        <f>VLOOKUP(A48,Faculty_Workload!A:P,7,FALSE)</f>
        <v>10</v>
      </c>
      <c r="H48">
        <f>VLOOKUP(A48,Faculty_Workload!A:P,8,FALSE)</f>
        <v>5</v>
      </c>
      <c r="I48">
        <f>VLOOKUP(A48,Faculty_Workload!A:P,9,FALSE)</f>
        <v>15</v>
      </c>
      <c r="J48">
        <f>VLOOKUP(A48,Faculty_Workload!A:P,10,FALSE)</f>
        <v>20</v>
      </c>
      <c r="K48" t="str">
        <f t="shared" si="0"/>
        <v>Underworked</v>
      </c>
      <c r="L48" t="str">
        <f>VLOOKUP(A48,Faculty_Workload!A:P,12,FALSE)</f>
        <v>Research Cell</v>
      </c>
      <c r="N48" t="str">
        <f>VLOOKUP(A48,Faculty_Workload!A:P,14,FALSE)</f>
        <v>Even</v>
      </c>
      <c r="O48" t="str">
        <f>VLOOKUP(A48,Faculty_Workload!A:P,15,FALSE)</f>
        <v>2023-24</v>
      </c>
    </row>
    <row r="49" spans="1:15" x14ac:dyDescent="0.3">
      <c r="A49" t="str">
        <f>VLOOKUP(Faculty_Workload!A49,Faculty_Workload!A:P,1,FALSE)</f>
        <v>FAC1048</v>
      </c>
      <c r="B49" t="str">
        <f>VLOOKUP(A49,Faculty_Workload!A:P,2,FALSE)</f>
        <v>Ravi Agarwal</v>
      </c>
      <c r="C49" t="str">
        <f>IF(COUNTBLANK(Faculty_Workload!C49)=0,Faculty_Workload!C49,"Unknown")</f>
        <v>IT</v>
      </c>
      <c r="D49" t="str">
        <f>VLOOKUP(A49,Faculty_Workload!A:P,4,FALSE)</f>
        <v>Associate Professor</v>
      </c>
      <c r="E49">
        <f>VLOOKUP(A49,Faculty_Workload!A:P,5,FALSE)</f>
        <v>20</v>
      </c>
      <c r="F49">
        <f>VLOOKUP(A49,Faculty_Workload!A:P,6,FALSE)</f>
        <v>3</v>
      </c>
      <c r="G49">
        <f>VLOOKUP(A49,Faculty_Workload!A:P,7,FALSE)</f>
        <v>17</v>
      </c>
      <c r="H49">
        <f>VLOOKUP(A49,Faculty_Workload!A:P,8,FALSE)</f>
        <v>2</v>
      </c>
      <c r="I49">
        <f>VLOOKUP(A49,Faculty_Workload!A:P,9,FALSE)</f>
        <v>19</v>
      </c>
      <c r="J49">
        <f>VLOOKUP(A49,Faculty_Workload!A:P,10,FALSE)</f>
        <v>20</v>
      </c>
      <c r="K49" t="str">
        <f t="shared" si="0"/>
        <v>Underworked</v>
      </c>
      <c r="L49" t="str">
        <f>VLOOKUP(A49,Faculty_Workload!A:P,12,FALSE)</f>
        <v>None</v>
      </c>
      <c r="N49" t="str">
        <f>VLOOKUP(A49,Faculty_Workload!A:P,14,FALSE)</f>
        <v>Even</v>
      </c>
      <c r="O49" t="str">
        <f>VLOOKUP(A49,Faculty_Workload!A:P,15,FALSE)</f>
        <v>2025-26</v>
      </c>
    </row>
    <row r="50" spans="1:15" x14ac:dyDescent="0.3">
      <c r="A50" t="str">
        <f>VLOOKUP(Faculty_Workload!A50,Faculty_Workload!A:P,1,FALSE)</f>
        <v>FAC1049</v>
      </c>
      <c r="B50" t="str">
        <f>VLOOKUP(A50,Faculty_Workload!A:P,2,FALSE)</f>
        <v>Geeta Srivastava</v>
      </c>
      <c r="C50" t="str">
        <f>IF(COUNTBLANK(Faculty_Workload!C50)=0,Faculty_Workload!C50,"Unknown")</f>
        <v>CSE</v>
      </c>
      <c r="D50" t="str">
        <f>VLOOKUP(A50,Faculty_Workload!A:P,4,FALSE)</f>
        <v>Professor</v>
      </c>
      <c r="E50">
        <f>VLOOKUP(A50,Faculty_Workload!A:P,5,FALSE)</f>
        <v>22</v>
      </c>
      <c r="F50">
        <f>VLOOKUP(A50,Faculty_Workload!A:P,6,FALSE)</f>
        <v>1</v>
      </c>
      <c r="G50">
        <f>VLOOKUP(A50,Faculty_Workload!A:P,7,FALSE)</f>
        <v>14</v>
      </c>
      <c r="H50">
        <f>VLOOKUP(A50,Faculty_Workload!A:P,8,FALSE)</f>
        <v>4</v>
      </c>
      <c r="I50">
        <f>VLOOKUP(A50,Faculty_Workload!A:P,9,FALSE)</f>
        <v>18</v>
      </c>
      <c r="J50">
        <f>VLOOKUP(A50,Faculty_Workload!A:P,10,FALSE)</f>
        <v>18</v>
      </c>
      <c r="K50" t="str">
        <f t="shared" si="0"/>
        <v>Normal</v>
      </c>
      <c r="L50" t="str">
        <f>VLOOKUP(A50,Faculty_Workload!A:P,12,FALSE)</f>
        <v>None</v>
      </c>
      <c r="N50" t="str">
        <f>VLOOKUP(A50,Faculty_Workload!A:P,14,FALSE)</f>
        <v>Even</v>
      </c>
      <c r="O50" t="str">
        <f>VLOOKUP(A50,Faculty_Workload!A:P,15,FALSE)</f>
        <v>2024-25</v>
      </c>
    </row>
    <row r="51" spans="1:15" x14ac:dyDescent="0.3">
      <c r="A51" t="str">
        <f>VLOOKUP(Faculty_Workload!A51,Faculty_Workload!A:P,1,FALSE)</f>
        <v>FAC1050</v>
      </c>
      <c r="B51" t="str">
        <f>VLOOKUP(A51,Faculty_Workload!A:P,2,FALSE)</f>
        <v>Uma Sharma</v>
      </c>
      <c r="C51" t="str">
        <f>IF(COUNTBLANK(Faculty_Workload!C51)=0,Faculty_Workload!C51,"Unknown")</f>
        <v>MBA</v>
      </c>
      <c r="D51" t="str">
        <f>VLOOKUP(A51,Faculty_Workload!A:P,4,FALSE)</f>
        <v>Associate Professor</v>
      </c>
      <c r="E51">
        <f>VLOOKUP(A51,Faculty_Workload!A:P,5,FALSE)</f>
        <v>21</v>
      </c>
      <c r="F51">
        <f>VLOOKUP(A51,Faculty_Workload!A:P,6,FALSE)</f>
        <v>4</v>
      </c>
      <c r="G51">
        <f>VLOOKUP(A51,Faculty_Workload!A:P,7,FALSE)</f>
        <v>10</v>
      </c>
      <c r="H51">
        <f>VLOOKUP(A51,Faculty_Workload!A:P,8,FALSE)</f>
        <v>6</v>
      </c>
      <c r="I51">
        <f>VLOOKUP(A51,Faculty_Workload!A:P,9,FALSE)</f>
        <v>16</v>
      </c>
      <c r="J51">
        <f>VLOOKUP(A51,Faculty_Workload!A:P,10,FALSE)</f>
        <v>20</v>
      </c>
      <c r="K51" t="str">
        <f t="shared" si="0"/>
        <v>Underworked</v>
      </c>
      <c r="L51" t="str">
        <f>VLOOKUP(A51,Faculty_Workload!A:P,12,FALSE)</f>
        <v>Time Table Committee</v>
      </c>
      <c r="N51" t="str">
        <f>VLOOKUP(A51,Faculty_Workload!A:P,14,FALSE)</f>
        <v>Odd</v>
      </c>
      <c r="O51" t="str">
        <f>VLOOKUP(A51,Faculty_Workload!A:P,15,FALSE)</f>
        <v>2025-26</v>
      </c>
    </row>
    <row r="52" spans="1:15" x14ac:dyDescent="0.3">
      <c r="A52" t="str">
        <f>VLOOKUP(Faculty_Workload!A52,Faculty_Workload!A:P,1,FALSE)</f>
        <v>FAC1051</v>
      </c>
      <c r="B52" t="str">
        <f>VLOOKUP(A52,Faculty_Workload!A:P,2,FALSE)</f>
        <v>Suresh Sharma</v>
      </c>
      <c r="C52" t="str">
        <f>IF(COUNTBLANK(Faculty_Workload!C52)=0,Faculty_Workload!C52,"Unknown")</f>
        <v>MBA</v>
      </c>
      <c r="D52" t="str">
        <f>VLOOKUP(A52,Faculty_Workload!A:P,4,FALSE)</f>
        <v>Professor</v>
      </c>
      <c r="E52">
        <f>VLOOKUP(A52,Faculty_Workload!A:P,5,FALSE)</f>
        <v>5</v>
      </c>
      <c r="F52">
        <f>VLOOKUP(A52,Faculty_Workload!A:P,6,FALSE)</f>
        <v>4</v>
      </c>
      <c r="G52">
        <f>VLOOKUP(A52,Faculty_Workload!A:P,7,FALSE)</f>
        <v>11</v>
      </c>
      <c r="H52">
        <f>VLOOKUP(A52,Faculty_Workload!A:P,8,FALSE)</f>
        <v>3</v>
      </c>
      <c r="I52">
        <f>VLOOKUP(A52,Faculty_Workload!A:P,9,FALSE)</f>
        <v>14</v>
      </c>
      <c r="J52">
        <f>VLOOKUP(A52,Faculty_Workload!A:P,10,FALSE)</f>
        <v>18</v>
      </c>
      <c r="K52" t="str">
        <f t="shared" si="0"/>
        <v>Underworked</v>
      </c>
      <c r="L52" t="str">
        <f>VLOOKUP(A52,Faculty_Workload!A:P,12,FALSE)</f>
        <v>Exam Cell</v>
      </c>
      <c r="N52" t="str">
        <f>VLOOKUP(A52,Faculty_Workload!A:P,14,FALSE)</f>
        <v>Even</v>
      </c>
      <c r="O52" t="str">
        <f>VLOOKUP(A52,Faculty_Workload!A:P,15,FALSE)</f>
        <v>2025-26</v>
      </c>
    </row>
    <row r="53" spans="1:15" x14ac:dyDescent="0.3">
      <c r="A53" t="str">
        <f>VLOOKUP(Faculty_Workload!A53,Faculty_Workload!A:P,1,FALSE)</f>
        <v>FAC1052</v>
      </c>
      <c r="B53" t="str">
        <f>VLOOKUP(A53,Faculty_Workload!A:P,2,FALSE)</f>
        <v>Harish Singh</v>
      </c>
      <c r="C53" t="str">
        <f>IF(COUNTBLANK(Faculty_Workload!C53)=0,Faculty_Workload!C53,"Unknown")</f>
        <v>CE</v>
      </c>
      <c r="D53" t="str">
        <f>VLOOKUP(A53,Faculty_Workload!A:P,4,FALSE)</f>
        <v>Lecturer</v>
      </c>
      <c r="E53">
        <f>VLOOKUP(A53,Faculty_Workload!A:P,5,FALSE)</f>
        <v>22</v>
      </c>
      <c r="F53">
        <f>VLOOKUP(A53,Faculty_Workload!A:P,6,FALSE)</f>
        <v>4</v>
      </c>
      <c r="G53">
        <f>VLOOKUP(A53,Faculty_Workload!A:P,7,FALSE)</f>
        <v>16</v>
      </c>
      <c r="H53">
        <f>VLOOKUP(A53,Faculty_Workload!A:P,8,FALSE)</f>
        <v>3</v>
      </c>
      <c r="I53">
        <f>VLOOKUP(A53,Faculty_Workload!A:P,9,FALSE)</f>
        <v>19</v>
      </c>
      <c r="J53">
        <f>VLOOKUP(A53,Faculty_Workload!A:P,10,FALSE)</f>
        <v>20</v>
      </c>
      <c r="K53" t="str">
        <f t="shared" si="0"/>
        <v>Underworked</v>
      </c>
      <c r="L53" t="str">
        <f>VLOOKUP(A53,Faculty_Workload!A:P,12,FALSE)</f>
        <v>None</v>
      </c>
      <c r="N53" t="str">
        <f>VLOOKUP(A53,Faculty_Workload!A:P,14,FALSE)</f>
        <v>Even</v>
      </c>
      <c r="O53" t="str">
        <f>VLOOKUP(A53,Faculty_Workload!A:P,15,FALSE)</f>
        <v>2025-26</v>
      </c>
    </row>
    <row r="54" spans="1:15" x14ac:dyDescent="0.3">
      <c r="A54" t="str">
        <f>VLOOKUP(Faculty_Workload!A54,Faculty_Workload!A:P,1,FALSE)</f>
        <v>FAC1053</v>
      </c>
      <c r="B54" t="str">
        <f>VLOOKUP(A54,Faculty_Workload!A:P,2,FALSE)</f>
        <v>Rekha Dubey</v>
      </c>
      <c r="C54" t="str">
        <f>IF(COUNTBLANK(Faculty_Workload!C54)=0,Faculty_Workload!C54,"Unknown")</f>
        <v>EEE</v>
      </c>
      <c r="D54" t="str">
        <f>VLOOKUP(A54,Faculty_Workload!A:P,4,FALSE)</f>
        <v>Lecturer</v>
      </c>
      <c r="E54">
        <f>VLOOKUP(A54,Faculty_Workload!A:P,5,FALSE)</f>
        <v>7</v>
      </c>
      <c r="F54">
        <f>VLOOKUP(A54,Faculty_Workload!A:P,6,FALSE)</f>
        <v>2</v>
      </c>
      <c r="G54">
        <f>VLOOKUP(A54,Faculty_Workload!A:P,7,FALSE)</f>
        <v>12</v>
      </c>
      <c r="H54">
        <f>VLOOKUP(A54,Faculty_Workload!A:P,8,FALSE)</f>
        <v>4</v>
      </c>
      <c r="I54">
        <f>VLOOKUP(A54,Faculty_Workload!A:P,9,FALSE)</f>
        <v>16</v>
      </c>
      <c r="J54">
        <f>VLOOKUP(A54,Faculty_Workload!A:P,10,FALSE)</f>
        <v>20</v>
      </c>
      <c r="K54" t="str">
        <f t="shared" si="0"/>
        <v>Underworked</v>
      </c>
      <c r="L54" t="str">
        <f>VLOOKUP(A54,Faculty_Workload!A:P,12,FALSE)</f>
        <v>None</v>
      </c>
      <c r="N54" t="str">
        <f>VLOOKUP(A54,Faculty_Workload!A:P,14,FALSE)</f>
        <v>Even</v>
      </c>
      <c r="O54" t="str">
        <f>VLOOKUP(A54,Faculty_Workload!A:P,15,FALSE)</f>
        <v>2024-25</v>
      </c>
    </row>
    <row r="55" spans="1:15" x14ac:dyDescent="0.3">
      <c r="A55" t="str">
        <f>VLOOKUP(Faculty_Workload!A55,Faculty_Workload!A:P,1,FALSE)</f>
        <v>FAC1054</v>
      </c>
      <c r="B55" t="str">
        <f>VLOOKUP(A55,Faculty_Workload!A:P,2,FALSE)</f>
        <v>Harish Chaudhary</v>
      </c>
      <c r="C55" t="str">
        <f>IF(COUNTBLANK(Faculty_Workload!C55)=0,Faculty_Workload!C55,"Unknown")</f>
        <v>MBA</v>
      </c>
      <c r="D55" t="str">
        <f>VLOOKUP(A55,Faculty_Workload!A:P,4,FALSE)</f>
        <v>Professor</v>
      </c>
      <c r="E55">
        <f>VLOOKUP(A55,Faculty_Workload!A:P,5,FALSE)</f>
        <v>12</v>
      </c>
      <c r="F55">
        <f>VLOOKUP(A55,Faculty_Workload!A:P,6,FALSE)</f>
        <v>3</v>
      </c>
      <c r="G55">
        <f>VLOOKUP(A55,Faculty_Workload!A:P,7,FALSE)</f>
        <v>12</v>
      </c>
      <c r="H55">
        <f>VLOOKUP(A55,Faculty_Workload!A:P,8,FALSE)</f>
        <v>0</v>
      </c>
      <c r="I55">
        <f>VLOOKUP(A55,Faculty_Workload!A:P,9,FALSE)</f>
        <v>12</v>
      </c>
      <c r="J55">
        <f>VLOOKUP(A55,Faculty_Workload!A:P,10,FALSE)</f>
        <v>18</v>
      </c>
      <c r="K55" t="str">
        <f t="shared" si="0"/>
        <v>Underworked</v>
      </c>
      <c r="L55" t="str">
        <f>VLOOKUP(A55,Faculty_Workload!A:P,12,FALSE)</f>
        <v>None</v>
      </c>
      <c r="N55" t="str">
        <f>VLOOKUP(A55,Faculty_Workload!A:P,14,FALSE)</f>
        <v>Even</v>
      </c>
      <c r="O55" t="str">
        <f>VLOOKUP(A55,Faculty_Workload!A:P,15,FALSE)</f>
        <v>2024-25</v>
      </c>
    </row>
    <row r="56" spans="1:15" x14ac:dyDescent="0.3">
      <c r="A56" t="str">
        <f>VLOOKUP(Faculty_Workload!A56,Faculty_Workload!A:P,1,FALSE)</f>
        <v>FAC1055</v>
      </c>
      <c r="B56" t="str">
        <f>VLOOKUP(A56,Faculty_Workload!A:P,2,FALSE)</f>
        <v>Vikram Kumar</v>
      </c>
      <c r="C56" t="str">
        <f>IF(COUNTBLANK(Faculty_Workload!C56)=0,Faculty_Workload!C56,"Unknown")</f>
        <v>CSE</v>
      </c>
      <c r="D56" t="str">
        <f>VLOOKUP(A56,Faculty_Workload!A:P,4,FALSE)</f>
        <v>Professor</v>
      </c>
      <c r="E56">
        <f>VLOOKUP(A56,Faculty_Workload!A:P,5,FALSE)</f>
        <v>3</v>
      </c>
      <c r="F56">
        <f>VLOOKUP(A56,Faculty_Workload!A:P,6,FALSE)</f>
        <v>3</v>
      </c>
      <c r="G56">
        <f>VLOOKUP(A56,Faculty_Workload!A:P,7,FALSE)</f>
        <v>15</v>
      </c>
      <c r="H56">
        <f>VLOOKUP(A56,Faculty_Workload!A:P,8,FALSE)</f>
        <v>5</v>
      </c>
      <c r="I56">
        <f>VLOOKUP(A56,Faculty_Workload!A:P,9,FALSE)</f>
        <v>20</v>
      </c>
      <c r="J56">
        <f>VLOOKUP(A56,Faculty_Workload!A:P,10,FALSE)</f>
        <v>18</v>
      </c>
      <c r="K56" t="str">
        <f t="shared" si="0"/>
        <v>Overworked</v>
      </c>
      <c r="L56" t="str">
        <f>VLOOKUP(A56,Faculty_Workload!A:P,12,FALSE)</f>
        <v>None</v>
      </c>
      <c r="N56" t="str">
        <f>VLOOKUP(A56,Faculty_Workload!A:P,14,FALSE)</f>
        <v>Odd</v>
      </c>
      <c r="O56" t="str">
        <f>VLOOKUP(A56,Faculty_Workload!A:P,15,FALSE)</f>
        <v>2023-24</v>
      </c>
    </row>
    <row r="57" spans="1:15" x14ac:dyDescent="0.3">
      <c r="A57" t="str">
        <f>VLOOKUP(Faculty_Workload!A57,Faculty_Workload!A:P,1,FALSE)</f>
        <v>FAC1056</v>
      </c>
      <c r="B57" t="str">
        <f>VLOOKUP(A57,Faculty_Workload!A:P,2,FALSE)</f>
        <v>Lata Chaudhary</v>
      </c>
      <c r="C57" t="str">
        <f>IF(COUNTBLANK(Faculty_Workload!C57)=0,Faculty_Workload!C57,"Unknown")</f>
        <v>EEE</v>
      </c>
      <c r="D57" t="str">
        <f>VLOOKUP(A57,Faculty_Workload!A:P,4,FALSE)</f>
        <v>Associate Professor</v>
      </c>
      <c r="E57">
        <f>VLOOKUP(A57,Faculty_Workload!A:P,5,FALSE)</f>
        <v>20</v>
      </c>
      <c r="F57">
        <f>VLOOKUP(A57,Faculty_Workload!A:P,6,FALSE)</f>
        <v>2</v>
      </c>
      <c r="G57">
        <f>VLOOKUP(A57,Faculty_Workload!A:P,7,FALSE)</f>
        <v>11</v>
      </c>
      <c r="H57">
        <f>VLOOKUP(A57,Faculty_Workload!A:P,8,FALSE)</f>
        <v>0</v>
      </c>
      <c r="I57">
        <f>VLOOKUP(A57,Faculty_Workload!A:P,9,FALSE)</f>
        <v>11</v>
      </c>
      <c r="J57">
        <f>VLOOKUP(A57,Faculty_Workload!A:P,10,FALSE)</f>
        <v>20</v>
      </c>
      <c r="K57" t="str">
        <f t="shared" si="0"/>
        <v>Underworked</v>
      </c>
      <c r="L57" t="str">
        <f>VLOOKUP(A57,Faculty_Workload!A:P,12,FALSE)</f>
        <v>Exam Cell</v>
      </c>
      <c r="N57" t="str">
        <f>VLOOKUP(A57,Faculty_Workload!A:P,14,FALSE)</f>
        <v>Odd</v>
      </c>
      <c r="O57" t="str">
        <f>VLOOKUP(A57,Faculty_Workload!A:P,15,FALSE)</f>
        <v>2025-26</v>
      </c>
    </row>
    <row r="58" spans="1:15" x14ac:dyDescent="0.3">
      <c r="A58" t="str">
        <f>VLOOKUP(Faculty_Workload!A58,Faculty_Workload!A:P,1,FALSE)</f>
        <v>FAC1057</v>
      </c>
      <c r="B58" t="str">
        <f>VLOOKUP(A58,Faculty_Workload!A:P,2,FALSE)</f>
        <v>Sunita Mishra</v>
      </c>
      <c r="C58" t="str">
        <f>IF(COUNTBLANK(Faculty_Workload!C58)=0,Faculty_Workload!C58,"Unknown")</f>
        <v>IT</v>
      </c>
      <c r="D58" t="str">
        <f>VLOOKUP(A58,Faculty_Workload!A:P,4,FALSE)</f>
        <v>Senior Lecturer</v>
      </c>
      <c r="E58">
        <f>VLOOKUP(A58,Faculty_Workload!A:P,5,FALSE)</f>
        <v>22</v>
      </c>
      <c r="F58">
        <f>VLOOKUP(A58,Faculty_Workload!A:P,6,FALSE)</f>
        <v>2</v>
      </c>
      <c r="G58">
        <f>VLOOKUP(A58,Faculty_Workload!A:P,7,FALSE)</f>
        <v>8</v>
      </c>
      <c r="H58">
        <f>VLOOKUP(A58,Faculty_Workload!A:P,8,FALSE)</f>
        <v>4</v>
      </c>
      <c r="I58">
        <f>VLOOKUP(A58,Faculty_Workload!A:P,9,FALSE)</f>
        <v>12</v>
      </c>
      <c r="J58">
        <f>VLOOKUP(A58,Faculty_Workload!A:P,10,FALSE)</f>
        <v>20</v>
      </c>
      <c r="K58" t="str">
        <f t="shared" si="0"/>
        <v>Underworked</v>
      </c>
      <c r="L58" t="str">
        <f>VLOOKUP(A58,Faculty_Workload!A:P,12,FALSE)</f>
        <v>None</v>
      </c>
      <c r="N58" t="str">
        <f>VLOOKUP(A58,Faculty_Workload!A:P,14,FALSE)</f>
        <v>Even</v>
      </c>
      <c r="O58" t="str">
        <f>VLOOKUP(A58,Faculty_Workload!A:P,15,FALSE)</f>
        <v>2024-25</v>
      </c>
    </row>
    <row r="59" spans="1:15" x14ac:dyDescent="0.3">
      <c r="A59" t="str">
        <f>VLOOKUP(Faculty_Workload!A59,Faculty_Workload!A:P,1,FALSE)</f>
        <v>FAC1058</v>
      </c>
      <c r="B59" t="str">
        <f>VLOOKUP(A59,Faculty_Workload!A:P,2,FALSE)</f>
        <v>Kavya Patel</v>
      </c>
      <c r="C59" t="str">
        <f>IF(COUNTBLANK(Faculty_Workload!C59)=0,Faculty_Workload!C59,"Unknown")</f>
        <v>EEE</v>
      </c>
      <c r="D59" t="str">
        <f>VLOOKUP(A59,Faculty_Workload!A:P,4,FALSE)</f>
        <v>Assistant Professor</v>
      </c>
      <c r="E59">
        <f>VLOOKUP(A59,Faculty_Workload!A:P,5,FALSE)</f>
        <v>21</v>
      </c>
      <c r="F59">
        <f>VLOOKUP(A59,Faculty_Workload!A:P,6,FALSE)</f>
        <v>2</v>
      </c>
      <c r="G59">
        <f>VLOOKUP(A59,Faculty_Workload!A:P,7,FALSE)</f>
        <v>16</v>
      </c>
      <c r="H59">
        <f>VLOOKUP(A59,Faculty_Workload!A:P,8,FALSE)</f>
        <v>5</v>
      </c>
      <c r="I59">
        <f>VLOOKUP(A59,Faculty_Workload!A:P,9,FALSE)</f>
        <v>21</v>
      </c>
      <c r="J59">
        <f>VLOOKUP(A59,Faculty_Workload!A:P,10,FALSE)</f>
        <v>20</v>
      </c>
      <c r="K59" t="str">
        <f t="shared" si="0"/>
        <v>Overworked</v>
      </c>
      <c r="L59" t="str">
        <f>VLOOKUP(A59,Faculty_Workload!A:P,12,FALSE)</f>
        <v>Research Cell</v>
      </c>
      <c r="N59" t="str">
        <f>VLOOKUP(A59,Faculty_Workload!A:P,14,FALSE)</f>
        <v>Odd</v>
      </c>
      <c r="O59" t="str">
        <f>VLOOKUP(A59,Faculty_Workload!A:P,15,FALSE)</f>
        <v>2024-25</v>
      </c>
    </row>
    <row r="60" spans="1:15" x14ac:dyDescent="0.3">
      <c r="A60" t="str">
        <f>VLOOKUP(Faculty_Workload!A60,Faculty_Workload!A:P,1,FALSE)</f>
        <v>FAC1059</v>
      </c>
      <c r="B60" t="str">
        <f>VLOOKUP(A60,Faculty_Workload!A:P,2,FALSE)</f>
        <v>Priya Srivastava</v>
      </c>
      <c r="C60" t="str">
        <f>IF(COUNTBLANK(Faculty_Workload!C60)=0,Faculty_Workload!C60,"Unknown")</f>
        <v>MCA</v>
      </c>
      <c r="D60" t="str">
        <f>VLOOKUP(A60,Faculty_Workload!A:P,4,FALSE)</f>
        <v>Senior Lecturer</v>
      </c>
      <c r="E60">
        <f>VLOOKUP(A60,Faculty_Workload!A:P,5,FALSE)</f>
        <v>30</v>
      </c>
      <c r="F60">
        <f>VLOOKUP(A60,Faculty_Workload!A:P,6,FALSE)</f>
        <v>3</v>
      </c>
      <c r="G60">
        <f>VLOOKUP(A60,Faculty_Workload!A:P,7,FALSE)</f>
        <v>8</v>
      </c>
      <c r="H60">
        <f>VLOOKUP(A60,Faculty_Workload!A:P,8,FALSE)</f>
        <v>0</v>
      </c>
      <c r="I60">
        <f>VLOOKUP(A60,Faculty_Workload!A:P,9,FALSE)</f>
        <v>8</v>
      </c>
      <c r="J60">
        <f>VLOOKUP(A60,Faculty_Workload!A:P,10,FALSE)</f>
        <v>20</v>
      </c>
      <c r="K60" t="str">
        <f t="shared" si="0"/>
        <v>Underworked</v>
      </c>
      <c r="L60" t="str">
        <f>VLOOKUP(A60,Faculty_Workload!A:P,12,FALSE)</f>
        <v>Library Committee</v>
      </c>
      <c r="N60" t="str">
        <f>VLOOKUP(A60,Faculty_Workload!A:P,14,FALSE)</f>
        <v>Odd</v>
      </c>
      <c r="O60" t="str">
        <f>VLOOKUP(A60,Faculty_Workload!A:P,15,FALSE)</f>
        <v>2024-25</v>
      </c>
    </row>
    <row r="61" spans="1:15" x14ac:dyDescent="0.3">
      <c r="A61" t="str">
        <f>VLOOKUP(Faculty_Workload!A61,Faculty_Workload!A:P,1,FALSE)</f>
        <v>FAC1060</v>
      </c>
      <c r="B61" t="str">
        <f>VLOOKUP(A61,Faculty_Workload!A:P,2,FALSE)</f>
        <v>Dinesh Yadav</v>
      </c>
      <c r="C61" t="str">
        <f>IF(COUNTBLANK(Faculty_Workload!C61)=0,Faculty_Workload!C61,"Unknown")</f>
        <v>MBA</v>
      </c>
      <c r="D61" t="str">
        <f>VLOOKUP(A61,Faculty_Workload!A:P,4,FALSE)</f>
        <v>Associate Professor</v>
      </c>
      <c r="E61">
        <f>VLOOKUP(A61,Faculty_Workload!A:P,5,FALSE)</f>
        <v>15</v>
      </c>
      <c r="F61">
        <f>VLOOKUP(A61,Faculty_Workload!A:P,6,FALSE)</f>
        <v>3</v>
      </c>
      <c r="G61">
        <f>VLOOKUP(A61,Faculty_Workload!A:P,7,FALSE)</f>
        <v>11</v>
      </c>
      <c r="H61">
        <f>VLOOKUP(A61,Faculty_Workload!A:P,8,FALSE)</f>
        <v>6</v>
      </c>
      <c r="I61">
        <f>VLOOKUP(A61,Faculty_Workload!A:P,9,FALSE)</f>
        <v>17</v>
      </c>
      <c r="J61">
        <f>VLOOKUP(A61,Faculty_Workload!A:P,10,FALSE)</f>
        <v>20</v>
      </c>
      <c r="K61" t="str">
        <f t="shared" si="0"/>
        <v>Underworked</v>
      </c>
      <c r="L61" t="str">
        <f>VLOOKUP(A61,Faculty_Workload!A:P,12,FALSE)</f>
        <v>None</v>
      </c>
      <c r="N61" t="str">
        <f>VLOOKUP(A61,Faculty_Workload!A:P,14,FALSE)</f>
        <v>Odd</v>
      </c>
      <c r="O61" t="str">
        <f>VLOOKUP(A61,Faculty_Workload!A:P,15,FALSE)</f>
        <v>2025-26</v>
      </c>
    </row>
    <row r="62" spans="1:15" x14ac:dyDescent="0.3">
      <c r="A62" t="str">
        <f>VLOOKUP(Faculty_Workload!A62,Faculty_Workload!A:P,1,FALSE)</f>
        <v>FAC1061</v>
      </c>
      <c r="B62" t="str">
        <f>VLOOKUP(A62,Faculty_Workload!A:P,2,FALSE)</f>
        <v>Harish Singh</v>
      </c>
      <c r="C62" t="str">
        <f>IF(COUNTBLANK(Faculty_Workload!C62)=0,Faculty_Workload!C62,"Unknown")</f>
        <v>CSE</v>
      </c>
      <c r="D62" t="str">
        <f>VLOOKUP(A62,Faculty_Workload!A:P,4,FALSE)</f>
        <v>Professor</v>
      </c>
      <c r="E62">
        <f>VLOOKUP(A62,Faculty_Workload!A:P,5,FALSE)</f>
        <v>19</v>
      </c>
      <c r="F62">
        <f>VLOOKUP(A62,Faculty_Workload!A:P,6,FALSE)</f>
        <v>2</v>
      </c>
      <c r="G62">
        <f>VLOOKUP(A62,Faculty_Workload!A:P,7,FALSE)</f>
        <v>10</v>
      </c>
      <c r="H62">
        <f>VLOOKUP(A62,Faculty_Workload!A:P,8,FALSE)</f>
        <v>4</v>
      </c>
      <c r="I62">
        <f>VLOOKUP(A62,Faculty_Workload!A:P,9,FALSE)</f>
        <v>14</v>
      </c>
      <c r="J62">
        <f>VLOOKUP(A62,Faculty_Workload!A:P,10,FALSE)</f>
        <v>18</v>
      </c>
      <c r="K62" t="str">
        <f t="shared" si="0"/>
        <v>Underworked</v>
      </c>
      <c r="L62" t="str">
        <f>VLOOKUP(A62,Faculty_Workload!A:P,12,FALSE)</f>
        <v>Time Table Committee</v>
      </c>
      <c r="N62" t="str">
        <f>VLOOKUP(A62,Faculty_Workload!A:P,14,FALSE)</f>
        <v>Even</v>
      </c>
      <c r="O62" t="str">
        <f>VLOOKUP(A62,Faculty_Workload!A:P,15,FALSE)</f>
        <v>2025-26</v>
      </c>
    </row>
    <row r="63" spans="1:15" x14ac:dyDescent="0.3">
      <c r="A63" t="str">
        <f>VLOOKUP(Faculty_Workload!A63,Faculty_Workload!A:P,1,FALSE)</f>
        <v>FAC1062</v>
      </c>
      <c r="B63" t="str">
        <f>VLOOKUP(A63,Faculty_Workload!A:P,2,FALSE)</f>
        <v>Sanjay Tiwari</v>
      </c>
      <c r="C63" t="str">
        <f>IF(COUNTBLANK(Faculty_Workload!C63)=0,Faculty_Workload!C63,"Unknown")</f>
        <v>ECE</v>
      </c>
      <c r="D63" t="str">
        <f>VLOOKUP(A63,Faculty_Workload!A:P,4,FALSE)</f>
        <v>Associate Professor</v>
      </c>
      <c r="E63">
        <f>VLOOKUP(A63,Faculty_Workload!A:P,5,FALSE)</f>
        <v>16</v>
      </c>
      <c r="F63">
        <f>VLOOKUP(A63,Faculty_Workload!A:P,6,FALSE)</f>
        <v>3</v>
      </c>
      <c r="G63">
        <f>VLOOKUP(A63,Faculty_Workload!A:P,7,FALSE)</f>
        <v>11</v>
      </c>
      <c r="H63">
        <f>VLOOKUP(A63,Faculty_Workload!A:P,8,FALSE)</f>
        <v>0</v>
      </c>
      <c r="I63">
        <f>VLOOKUP(A63,Faculty_Workload!A:P,9,FALSE)</f>
        <v>11</v>
      </c>
      <c r="J63">
        <f>VLOOKUP(A63,Faculty_Workload!A:P,10,FALSE)</f>
        <v>20</v>
      </c>
      <c r="K63" t="str">
        <f t="shared" si="0"/>
        <v>Underworked</v>
      </c>
      <c r="L63" t="str">
        <f>VLOOKUP(A63,Faculty_Workload!A:P,12,FALSE)</f>
        <v>None</v>
      </c>
      <c r="N63" t="str">
        <f>VLOOKUP(A63,Faculty_Workload!A:P,14,FALSE)</f>
        <v>Odd</v>
      </c>
      <c r="O63" t="str">
        <f>VLOOKUP(A63,Faculty_Workload!A:P,15,FALSE)</f>
        <v>2024-25</v>
      </c>
    </row>
    <row r="64" spans="1:15" x14ac:dyDescent="0.3">
      <c r="A64" t="str">
        <f>VLOOKUP(Faculty_Workload!A64,Faculty_Workload!A:P,1,FALSE)</f>
        <v>FAC1063</v>
      </c>
      <c r="B64" t="str">
        <f>VLOOKUP(A64,Faculty_Workload!A:P,2,FALSE)</f>
        <v>Ravi Kumar</v>
      </c>
      <c r="C64" t="str">
        <f>IF(COUNTBLANK(Faculty_Workload!C64)=0,Faculty_Workload!C64,"Unknown")</f>
        <v>CSE</v>
      </c>
      <c r="D64" t="str">
        <f>VLOOKUP(A64,Faculty_Workload!A:P,4,FALSE)</f>
        <v>Professor</v>
      </c>
      <c r="E64">
        <f>VLOOKUP(A64,Faculty_Workload!A:P,5,FALSE)</f>
        <v>12</v>
      </c>
      <c r="F64">
        <f>VLOOKUP(A64,Faculty_Workload!A:P,6,FALSE)</f>
        <v>2</v>
      </c>
      <c r="G64">
        <f>VLOOKUP(A64,Faculty_Workload!A:P,7,FALSE)</f>
        <v>8</v>
      </c>
      <c r="H64">
        <f>VLOOKUP(A64,Faculty_Workload!A:P,8,FALSE)</f>
        <v>5</v>
      </c>
      <c r="I64">
        <f>VLOOKUP(A64,Faculty_Workload!A:P,9,FALSE)</f>
        <v>13</v>
      </c>
      <c r="J64">
        <f>VLOOKUP(A64,Faculty_Workload!A:P,10,FALSE)</f>
        <v>18</v>
      </c>
      <c r="K64" t="str">
        <f t="shared" si="0"/>
        <v>Underworked</v>
      </c>
      <c r="L64" t="str">
        <f>VLOOKUP(A64,Faculty_Workload!A:P,12,FALSE)</f>
        <v>None</v>
      </c>
      <c r="N64" t="str">
        <f>VLOOKUP(A64,Faculty_Workload!A:P,14,FALSE)</f>
        <v>Even</v>
      </c>
      <c r="O64" t="str">
        <f>VLOOKUP(A64,Faculty_Workload!A:P,15,FALSE)</f>
        <v>2023-24</v>
      </c>
    </row>
    <row r="65" spans="1:15" x14ac:dyDescent="0.3">
      <c r="A65" t="str">
        <f>VLOOKUP(Faculty_Workload!A65,Faculty_Workload!A:P,1,FALSE)</f>
        <v>FAC1064</v>
      </c>
      <c r="B65" t="str">
        <f>VLOOKUP(A65,Faculty_Workload!A:P,2,FALSE)</f>
        <v>Harish Verma</v>
      </c>
      <c r="C65" t="str">
        <f>IF(COUNTBLANK(Faculty_Workload!C65)=0,Faculty_Workload!C65,"Unknown")</f>
        <v>EEE</v>
      </c>
      <c r="D65" t="str">
        <f>VLOOKUP(A65,Faculty_Workload!A:P,4,FALSE)</f>
        <v>Professor</v>
      </c>
      <c r="E65">
        <f>VLOOKUP(A65,Faculty_Workload!A:P,5,FALSE)</f>
        <v>8</v>
      </c>
      <c r="F65">
        <f>VLOOKUP(A65,Faculty_Workload!A:P,6,FALSE)</f>
        <v>2</v>
      </c>
      <c r="G65">
        <f>VLOOKUP(A65,Faculty_Workload!A:P,7,FALSE)</f>
        <v>10</v>
      </c>
      <c r="H65">
        <f>VLOOKUP(A65,Faculty_Workload!A:P,8,FALSE)</f>
        <v>3</v>
      </c>
      <c r="I65">
        <f>VLOOKUP(A65,Faculty_Workload!A:P,9,FALSE)</f>
        <v>13</v>
      </c>
      <c r="J65">
        <f>VLOOKUP(A65,Faculty_Workload!A:P,10,FALSE)</f>
        <v>18</v>
      </c>
      <c r="K65" t="str">
        <f t="shared" si="0"/>
        <v>Underworked</v>
      </c>
      <c r="L65" t="str">
        <f>VLOOKUP(A65,Faculty_Workload!A:P,12,FALSE)</f>
        <v>Library Committee</v>
      </c>
      <c r="N65" t="str">
        <f>VLOOKUP(A65,Faculty_Workload!A:P,14,FALSE)</f>
        <v>Even</v>
      </c>
      <c r="O65" t="str">
        <f>VLOOKUP(A65,Faculty_Workload!A:P,15,FALSE)</f>
        <v>2024-25</v>
      </c>
    </row>
    <row r="66" spans="1:15" x14ac:dyDescent="0.3">
      <c r="A66" t="str">
        <f>VLOOKUP(Faculty_Workload!A66,Faculty_Workload!A:P,1,FALSE)</f>
        <v>FAC1065</v>
      </c>
      <c r="B66" t="str">
        <f>VLOOKUP(A66,Faculty_Workload!A:P,2,FALSE)</f>
        <v>Lata Dubey</v>
      </c>
      <c r="C66" t="str">
        <f>IF(COUNTBLANK(Faculty_Workload!C66)=0,Faculty_Workload!C66,"Unknown")</f>
        <v>CE</v>
      </c>
      <c r="D66" t="str">
        <f>VLOOKUP(A66,Faculty_Workload!A:P,4,FALSE)</f>
        <v>Associate Professor</v>
      </c>
      <c r="E66">
        <f>VLOOKUP(A66,Faculty_Workload!A:P,5,FALSE)</f>
        <v>25</v>
      </c>
      <c r="F66">
        <f>VLOOKUP(A66,Faculty_Workload!A:P,6,FALSE)</f>
        <v>1</v>
      </c>
      <c r="G66">
        <f>VLOOKUP(A66,Faculty_Workload!A:P,7,FALSE)</f>
        <v>16</v>
      </c>
      <c r="H66">
        <f>VLOOKUP(A66,Faculty_Workload!A:P,8,FALSE)</f>
        <v>3</v>
      </c>
      <c r="I66">
        <f>VLOOKUP(A66,Faculty_Workload!A:P,9,FALSE)</f>
        <v>19</v>
      </c>
      <c r="J66">
        <f>VLOOKUP(A66,Faculty_Workload!A:P,10,FALSE)</f>
        <v>20</v>
      </c>
      <c r="K66" t="str">
        <f t="shared" si="0"/>
        <v>Underworked</v>
      </c>
      <c r="L66" t="str">
        <f>VLOOKUP(A66,Faculty_Workload!A:P,12,FALSE)</f>
        <v>Exam Cell</v>
      </c>
      <c r="N66" t="str">
        <f>VLOOKUP(A66,Faculty_Workload!A:P,14,FALSE)</f>
        <v>Odd</v>
      </c>
      <c r="O66" t="str">
        <f>VLOOKUP(A66,Faculty_Workload!A:P,15,FALSE)</f>
        <v>2025-26</v>
      </c>
    </row>
    <row r="67" spans="1:15" x14ac:dyDescent="0.3">
      <c r="A67" t="str">
        <f>VLOOKUP(Faculty_Workload!A67,Faculty_Workload!A:P,1,FALSE)</f>
        <v>FAC1066</v>
      </c>
      <c r="B67" t="str">
        <f>VLOOKUP(A67,Faculty_Workload!A:P,2,FALSE)</f>
        <v>Lata Agarwal</v>
      </c>
      <c r="C67" t="str">
        <f>IF(COUNTBLANK(Faculty_Workload!C67)=0,Faculty_Workload!C67,"Unknown")</f>
        <v>CE</v>
      </c>
      <c r="D67" t="str">
        <f>VLOOKUP(A67,Faculty_Workload!A:P,4,FALSE)</f>
        <v>Lecturer</v>
      </c>
      <c r="E67">
        <f>VLOOKUP(A67,Faculty_Workload!A:P,5,FALSE)</f>
        <v>5</v>
      </c>
      <c r="F67">
        <f>VLOOKUP(A67,Faculty_Workload!A:P,6,FALSE)</f>
        <v>2</v>
      </c>
      <c r="G67">
        <f>VLOOKUP(A67,Faculty_Workload!A:P,7,FALSE)</f>
        <v>13</v>
      </c>
      <c r="H67">
        <f>VLOOKUP(A67,Faculty_Workload!A:P,8,FALSE)</f>
        <v>6</v>
      </c>
      <c r="I67">
        <f>VLOOKUP(A67,Faculty_Workload!A:P,9,FALSE)</f>
        <v>19</v>
      </c>
      <c r="J67">
        <f>VLOOKUP(A67,Faculty_Workload!A:P,10,FALSE)</f>
        <v>20</v>
      </c>
      <c r="K67" t="str">
        <f t="shared" ref="K67:K101" si="1">IF(I67&gt;J67,"Overworked",IF(I67=J67,"Normal","Underworked"))</f>
        <v>Underworked</v>
      </c>
      <c r="L67" t="str">
        <f>VLOOKUP(A67,Faculty_Workload!A:P,12,FALSE)</f>
        <v>Library Committee</v>
      </c>
      <c r="N67" t="str">
        <f>VLOOKUP(A67,Faculty_Workload!A:P,14,FALSE)</f>
        <v>Odd</v>
      </c>
      <c r="O67" t="str">
        <f>VLOOKUP(A67,Faculty_Workload!A:P,15,FALSE)</f>
        <v>2025-26</v>
      </c>
    </row>
    <row r="68" spans="1:15" x14ac:dyDescent="0.3">
      <c r="A68" t="str">
        <f>VLOOKUP(Faculty_Workload!A68,Faculty_Workload!A:P,1,FALSE)</f>
        <v>FAC1067</v>
      </c>
      <c r="B68" t="str">
        <f>VLOOKUP(A68,Faculty_Workload!A:P,2,FALSE)</f>
        <v>Rajesh Agarwal</v>
      </c>
      <c r="C68" t="str">
        <f>IF(COUNTBLANK(Faculty_Workload!C68)=0,Faculty_Workload!C68,"Unknown")</f>
        <v>MBA</v>
      </c>
      <c r="D68" t="str">
        <f>VLOOKUP(A68,Faculty_Workload!A:P,4,FALSE)</f>
        <v>Assistant Professor</v>
      </c>
      <c r="E68">
        <f>VLOOKUP(A68,Faculty_Workload!A:P,5,FALSE)</f>
        <v>5</v>
      </c>
      <c r="F68">
        <f>VLOOKUP(A68,Faculty_Workload!A:P,6,FALSE)</f>
        <v>4</v>
      </c>
      <c r="G68">
        <f>VLOOKUP(A68,Faculty_Workload!A:P,7,FALSE)</f>
        <v>15</v>
      </c>
      <c r="H68">
        <f>VLOOKUP(A68,Faculty_Workload!A:P,8,FALSE)</f>
        <v>4</v>
      </c>
      <c r="I68">
        <f>VLOOKUP(A68,Faculty_Workload!A:P,9,FALSE)</f>
        <v>19</v>
      </c>
      <c r="J68">
        <f>VLOOKUP(A68,Faculty_Workload!A:P,10,FALSE)</f>
        <v>20</v>
      </c>
      <c r="K68" t="str">
        <f t="shared" si="1"/>
        <v>Underworked</v>
      </c>
      <c r="L68" t="str">
        <f>VLOOKUP(A68,Faculty_Workload!A:P,12,FALSE)</f>
        <v>None</v>
      </c>
      <c r="N68" t="str">
        <f>VLOOKUP(A68,Faculty_Workload!A:P,14,FALSE)</f>
        <v>Even</v>
      </c>
      <c r="O68" t="str">
        <f>VLOOKUP(A68,Faculty_Workload!A:P,15,FALSE)</f>
        <v>2025-26</v>
      </c>
    </row>
    <row r="69" spans="1:15" x14ac:dyDescent="0.3">
      <c r="A69" t="str">
        <f>VLOOKUP(Faculty_Workload!A69,Faculty_Workload!A:P,1,FALSE)</f>
        <v>FAC1068</v>
      </c>
      <c r="B69" t="str">
        <f>VLOOKUP(A69,Faculty_Workload!A:P,2,FALSE)</f>
        <v>Uma Sharma</v>
      </c>
      <c r="C69" t="str">
        <f>IF(COUNTBLANK(Faculty_Workload!C69)=0,Faculty_Workload!C69,"Unknown")</f>
        <v>MCA</v>
      </c>
      <c r="D69" t="str">
        <f>VLOOKUP(A69,Faculty_Workload!A:P,4,FALSE)</f>
        <v>Professor</v>
      </c>
      <c r="E69">
        <f>VLOOKUP(A69,Faculty_Workload!A:P,5,FALSE)</f>
        <v>24</v>
      </c>
      <c r="F69">
        <f>VLOOKUP(A69,Faculty_Workload!A:P,6,FALSE)</f>
        <v>2</v>
      </c>
      <c r="G69">
        <f>VLOOKUP(A69,Faculty_Workload!A:P,7,FALSE)</f>
        <v>17</v>
      </c>
      <c r="H69">
        <f>VLOOKUP(A69,Faculty_Workload!A:P,8,FALSE)</f>
        <v>0</v>
      </c>
      <c r="I69">
        <f>VLOOKUP(A69,Faculty_Workload!A:P,9,FALSE)</f>
        <v>17</v>
      </c>
      <c r="J69">
        <f>VLOOKUP(A69,Faculty_Workload!A:P,10,FALSE)</f>
        <v>18</v>
      </c>
      <c r="K69" t="str">
        <f t="shared" si="1"/>
        <v>Underworked</v>
      </c>
      <c r="L69" t="str">
        <f>VLOOKUP(A69,Faculty_Workload!A:P,12,FALSE)</f>
        <v>Exam Cell</v>
      </c>
      <c r="N69" t="str">
        <f>VLOOKUP(A69,Faculty_Workload!A:P,14,FALSE)</f>
        <v>Even</v>
      </c>
      <c r="O69" t="str">
        <f>VLOOKUP(A69,Faculty_Workload!A:P,15,FALSE)</f>
        <v>2025-26</v>
      </c>
    </row>
    <row r="70" spans="1:15" x14ac:dyDescent="0.3">
      <c r="A70" t="str">
        <f>VLOOKUP(Faculty_Workload!A70,Faculty_Workload!A:P,1,FALSE)</f>
        <v>FAC1069</v>
      </c>
      <c r="B70" t="str">
        <f>VLOOKUP(A70,Faculty_Workload!A:P,2,FALSE)</f>
        <v>Rajesh Agarwal</v>
      </c>
      <c r="C70" t="str">
        <f>IF(COUNTBLANK(Faculty_Workload!C70)=0,Faculty_Workload!C70,"Unknown")</f>
        <v>MBA</v>
      </c>
      <c r="D70" t="str">
        <f>VLOOKUP(A70,Faculty_Workload!A:P,4,FALSE)</f>
        <v>Assistant Professor</v>
      </c>
      <c r="E70">
        <f>VLOOKUP(A70,Faculty_Workload!A:P,5,FALSE)</f>
        <v>14</v>
      </c>
      <c r="F70">
        <f>VLOOKUP(A70,Faculty_Workload!A:P,6,FALSE)</f>
        <v>2</v>
      </c>
      <c r="G70">
        <f>VLOOKUP(A70,Faculty_Workload!A:P,7,FALSE)</f>
        <v>10</v>
      </c>
      <c r="H70">
        <f>VLOOKUP(A70,Faculty_Workload!A:P,8,FALSE)</f>
        <v>6</v>
      </c>
      <c r="I70">
        <f>VLOOKUP(A70,Faculty_Workload!A:P,9,FALSE)</f>
        <v>16</v>
      </c>
      <c r="J70">
        <f>VLOOKUP(A70,Faculty_Workload!A:P,10,FALSE)</f>
        <v>20</v>
      </c>
      <c r="K70" t="str">
        <f t="shared" si="1"/>
        <v>Underworked</v>
      </c>
      <c r="L70" t="str">
        <f>VLOOKUP(A70,Faculty_Workload!A:P,12,FALSE)</f>
        <v>Sports Cell</v>
      </c>
      <c r="N70" t="str">
        <f>VLOOKUP(A70,Faculty_Workload!A:P,14,FALSE)</f>
        <v>Even</v>
      </c>
      <c r="O70" t="str">
        <f>VLOOKUP(A70,Faculty_Workload!A:P,15,FALSE)</f>
        <v>2024-25</v>
      </c>
    </row>
    <row r="71" spans="1:15" x14ac:dyDescent="0.3">
      <c r="A71" t="str">
        <f>VLOOKUP(Faculty_Workload!A71,Faculty_Workload!A:P,1,FALSE)</f>
        <v>FAC1070</v>
      </c>
      <c r="B71" t="str">
        <f>VLOOKUP(A71,Faculty_Workload!A:P,2,FALSE)</f>
        <v>Sanjay Verma</v>
      </c>
      <c r="C71" t="str">
        <f>IF(COUNTBLANK(Faculty_Workload!C71)=0,Faculty_Workload!C71,"Unknown")</f>
        <v>ME</v>
      </c>
      <c r="D71" t="str">
        <f>VLOOKUP(A71,Faculty_Workload!A:P,4,FALSE)</f>
        <v>Professor</v>
      </c>
      <c r="E71">
        <f>VLOOKUP(A71,Faculty_Workload!A:P,5,FALSE)</f>
        <v>6</v>
      </c>
      <c r="F71">
        <f>VLOOKUP(A71,Faculty_Workload!A:P,6,FALSE)</f>
        <v>4</v>
      </c>
      <c r="G71">
        <f>VLOOKUP(A71,Faculty_Workload!A:P,7,FALSE)</f>
        <v>16</v>
      </c>
      <c r="H71">
        <f>VLOOKUP(A71,Faculty_Workload!A:P,8,FALSE)</f>
        <v>1</v>
      </c>
      <c r="I71">
        <f>VLOOKUP(A71,Faculty_Workload!A:P,9,FALSE)</f>
        <v>17</v>
      </c>
      <c r="J71">
        <f>VLOOKUP(A71,Faculty_Workload!A:P,10,FALSE)</f>
        <v>18</v>
      </c>
      <c r="K71" t="str">
        <f t="shared" si="1"/>
        <v>Underworked</v>
      </c>
      <c r="L71" t="str">
        <f>VLOOKUP(A71,Faculty_Workload!A:P,12,FALSE)</f>
        <v>Library Committee</v>
      </c>
      <c r="N71" t="str">
        <f>VLOOKUP(A71,Faculty_Workload!A:P,14,FALSE)</f>
        <v>Odd</v>
      </c>
      <c r="O71" t="str">
        <f>VLOOKUP(A71,Faculty_Workload!A:P,15,FALSE)</f>
        <v>2023-24</v>
      </c>
    </row>
    <row r="72" spans="1:15" x14ac:dyDescent="0.3">
      <c r="A72" t="str">
        <f>VLOOKUP(Faculty_Workload!A72,Faculty_Workload!A:P,1,FALSE)</f>
        <v>FAC1071</v>
      </c>
      <c r="B72" t="str">
        <f>VLOOKUP(A72,Faculty_Workload!A:P,2,FALSE)</f>
        <v>Rekha Chaudhary</v>
      </c>
      <c r="C72" t="str">
        <f>IF(COUNTBLANK(Faculty_Workload!C72)=0,Faculty_Workload!C72,"Unknown")</f>
        <v>MCA</v>
      </c>
      <c r="D72" t="str">
        <f>VLOOKUP(A72,Faculty_Workload!A:P,4,FALSE)</f>
        <v>Lecturer</v>
      </c>
      <c r="E72">
        <f>VLOOKUP(A72,Faculty_Workload!A:P,5,FALSE)</f>
        <v>27</v>
      </c>
      <c r="F72">
        <f>VLOOKUP(A72,Faculty_Workload!A:P,6,FALSE)</f>
        <v>2</v>
      </c>
      <c r="G72">
        <f>VLOOKUP(A72,Faculty_Workload!A:P,7,FALSE)</f>
        <v>11</v>
      </c>
      <c r="H72">
        <f>VLOOKUP(A72,Faculty_Workload!A:P,8,FALSE)</f>
        <v>3</v>
      </c>
      <c r="I72">
        <f>VLOOKUP(A72,Faculty_Workload!A:P,9,FALSE)</f>
        <v>14</v>
      </c>
      <c r="J72">
        <f>VLOOKUP(A72,Faculty_Workload!A:P,10,FALSE)</f>
        <v>20</v>
      </c>
      <c r="K72" t="str">
        <f t="shared" si="1"/>
        <v>Underworked</v>
      </c>
      <c r="L72" t="str">
        <f>VLOOKUP(A72,Faculty_Workload!A:P,12,FALSE)</f>
        <v>Time Table Committee</v>
      </c>
      <c r="N72" t="str">
        <f>VLOOKUP(A72,Faculty_Workload!A:P,14,FALSE)</f>
        <v>Even</v>
      </c>
      <c r="O72" t="str">
        <f>VLOOKUP(A72,Faculty_Workload!A:P,15,FALSE)</f>
        <v>2023-24</v>
      </c>
    </row>
    <row r="73" spans="1:15" x14ac:dyDescent="0.3">
      <c r="A73" t="str">
        <f>VLOOKUP(Faculty_Workload!A73,Faculty_Workload!A:P,1,FALSE)</f>
        <v>FAC1072</v>
      </c>
      <c r="B73" t="str">
        <f>VLOOKUP(A73,Faculty_Workload!A:P,2,FALSE)</f>
        <v>Priya Dubey</v>
      </c>
      <c r="C73" t="str">
        <f>IF(COUNTBLANK(Faculty_Workload!C73)=0,Faculty_Workload!C73,"Unknown")</f>
        <v>MCA</v>
      </c>
      <c r="D73" t="str">
        <f>VLOOKUP(A73,Faculty_Workload!A:P,4,FALSE)</f>
        <v>Lecturer</v>
      </c>
      <c r="E73">
        <f>VLOOKUP(A73,Faculty_Workload!A:P,5,FALSE)</f>
        <v>8</v>
      </c>
      <c r="F73">
        <f>VLOOKUP(A73,Faculty_Workload!A:P,6,FALSE)</f>
        <v>2</v>
      </c>
      <c r="G73">
        <f>VLOOKUP(A73,Faculty_Workload!A:P,7,FALSE)</f>
        <v>9</v>
      </c>
      <c r="H73">
        <f>VLOOKUP(A73,Faculty_Workload!A:P,8,FALSE)</f>
        <v>0</v>
      </c>
      <c r="I73">
        <f>VLOOKUP(A73,Faculty_Workload!A:P,9,FALSE)</f>
        <v>9</v>
      </c>
      <c r="J73">
        <f>VLOOKUP(A73,Faculty_Workload!A:P,10,FALSE)</f>
        <v>20</v>
      </c>
      <c r="K73" t="str">
        <f t="shared" si="1"/>
        <v>Underworked</v>
      </c>
      <c r="L73" t="str">
        <f>VLOOKUP(A73,Faculty_Workload!A:P,12,FALSE)</f>
        <v>Exam Cell</v>
      </c>
      <c r="N73" t="str">
        <f>VLOOKUP(A73,Faculty_Workload!A:P,14,FALSE)</f>
        <v>Even</v>
      </c>
      <c r="O73" t="str">
        <f>VLOOKUP(A73,Faculty_Workload!A:P,15,FALSE)</f>
        <v>2025-26</v>
      </c>
    </row>
    <row r="74" spans="1:15" x14ac:dyDescent="0.3">
      <c r="A74" t="str">
        <f>VLOOKUP(Faculty_Workload!A74,Faculty_Workload!A:P,1,FALSE)</f>
        <v>FAC1073</v>
      </c>
      <c r="B74" t="str">
        <f>VLOOKUP(A74,Faculty_Workload!A:P,2,FALSE)</f>
        <v>Meena Chaudhary</v>
      </c>
      <c r="C74" t="str">
        <f>IF(COUNTBLANK(Faculty_Workload!C74)=0,Faculty_Workload!C74,"Unknown")</f>
        <v>CSE</v>
      </c>
      <c r="D74" t="str">
        <f>VLOOKUP(A74,Faculty_Workload!A:P,4,FALSE)</f>
        <v>Senior Lecturer</v>
      </c>
      <c r="E74">
        <f>VLOOKUP(A74,Faculty_Workload!A:P,5,FALSE)</f>
        <v>8</v>
      </c>
      <c r="F74">
        <f>VLOOKUP(A74,Faculty_Workload!A:P,6,FALSE)</f>
        <v>2</v>
      </c>
      <c r="G74">
        <f>VLOOKUP(A74,Faculty_Workload!A:P,7,FALSE)</f>
        <v>8</v>
      </c>
      <c r="H74">
        <f>VLOOKUP(A74,Faculty_Workload!A:P,8,FALSE)</f>
        <v>1</v>
      </c>
      <c r="I74">
        <f>VLOOKUP(A74,Faculty_Workload!A:P,9,FALSE)</f>
        <v>9</v>
      </c>
      <c r="J74">
        <f>VLOOKUP(A74,Faculty_Workload!A:P,10,FALSE)</f>
        <v>20</v>
      </c>
      <c r="K74" t="str">
        <f t="shared" si="1"/>
        <v>Underworked</v>
      </c>
      <c r="L74" t="str">
        <f>VLOOKUP(A74,Faculty_Workload!A:P,12,FALSE)</f>
        <v>None</v>
      </c>
      <c r="N74" t="str">
        <f>VLOOKUP(A74,Faculty_Workload!A:P,14,FALSE)</f>
        <v>Odd</v>
      </c>
      <c r="O74" t="str">
        <f>VLOOKUP(A74,Faculty_Workload!A:P,15,FALSE)</f>
        <v>2025-26</v>
      </c>
    </row>
    <row r="75" spans="1:15" x14ac:dyDescent="0.3">
      <c r="A75" t="str">
        <f>VLOOKUP(Faculty_Workload!A75,Faculty_Workload!A:P,1,FALSE)</f>
        <v>FAC1074</v>
      </c>
      <c r="B75" t="str">
        <f>VLOOKUP(A75,Faculty_Workload!A:P,2,FALSE)</f>
        <v>Prakash Pandey</v>
      </c>
      <c r="C75" t="str">
        <f>IF(COUNTBLANK(Faculty_Workload!C75)=0,Faculty_Workload!C75,"Unknown")</f>
        <v>IT</v>
      </c>
      <c r="D75" t="str">
        <f>VLOOKUP(A75,Faculty_Workload!A:P,4,FALSE)</f>
        <v>Associate Professor</v>
      </c>
      <c r="E75">
        <f>VLOOKUP(A75,Faculty_Workload!A:P,5,FALSE)</f>
        <v>29</v>
      </c>
      <c r="F75">
        <f>VLOOKUP(A75,Faculty_Workload!A:P,6,FALSE)</f>
        <v>2</v>
      </c>
      <c r="G75">
        <f>VLOOKUP(A75,Faculty_Workload!A:P,7,FALSE)</f>
        <v>18</v>
      </c>
      <c r="H75">
        <f>VLOOKUP(A75,Faculty_Workload!A:P,8,FALSE)</f>
        <v>4</v>
      </c>
      <c r="I75">
        <f>VLOOKUP(A75,Faculty_Workload!A:P,9,FALSE)</f>
        <v>22</v>
      </c>
      <c r="J75">
        <f>VLOOKUP(A75,Faculty_Workload!A:P,10,FALSE)</f>
        <v>20</v>
      </c>
      <c r="K75" t="str">
        <f t="shared" si="1"/>
        <v>Overworked</v>
      </c>
      <c r="L75" t="str">
        <f>VLOOKUP(A75,Faculty_Workload!A:P,12,FALSE)</f>
        <v>Research Cell</v>
      </c>
      <c r="N75" t="str">
        <f>VLOOKUP(A75,Faculty_Workload!A:P,14,FALSE)</f>
        <v>Even</v>
      </c>
      <c r="O75" t="str">
        <f>VLOOKUP(A75,Faculty_Workload!A:P,15,FALSE)</f>
        <v>2024-25</v>
      </c>
    </row>
    <row r="76" spans="1:15" x14ac:dyDescent="0.3">
      <c r="A76" t="str">
        <f>VLOOKUP(Faculty_Workload!A76,Faculty_Workload!A:P,1,FALSE)</f>
        <v>FAC1075</v>
      </c>
      <c r="B76" t="str">
        <f>VLOOKUP(A76,Faculty_Workload!A:P,2,FALSE)</f>
        <v>Dinesh Tiwari</v>
      </c>
      <c r="C76" t="str">
        <f>IF(COUNTBLANK(Faculty_Workload!C76)=0,Faculty_Workload!C76,"Unknown")</f>
        <v>MCA</v>
      </c>
      <c r="D76" t="str">
        <f>VLOOKUP(A76,Faculty_Workload!A:P,4,FALSE)</f>
        <v>Lecturer</v>
      </c>
      <c r="E76">
        <f>VLOOKUP(A76,Faculty_Workload!A:P,5,FALSE)</f>
        <v>2</v>
      </c>
      <c r="F76">
        <f>VLOOKUP(A76,Faculty_Workload!A:P,6,FALSE)</f>
        <v>3</v>
      </c>
      <c r="G76">
        <f>VLOOKUP(A76,Faculty_Workload!A:P,7,FALSE)</f>
        <v>18</v>
      </c>
      <c r="H76">
        <f>VLOOKUP(A76,Faculty_Workload!A:P,8,FALSE)</f>
        <v>5</v>
      </c>
      <c r="I76">
        <f>VLOOKUP(A76,Faculty_Workload!A:P,9,FALSE)</f>
        <v>23</v>
      </c>
      <c r="J76">
        <f>VLOOKUP(A76,Faculty_Workload!A:P,10,FALSE)</f>
        <v>20</v>
      </c>
      <c r="K76" t="str">
        <f t="shared" si="1"/>
        <v>Overworked</v>
      </c>
      <c r="L76" t="str">
        <f>VLOOKUP(A76,Faculty_Workload!A:P,12,FALSE)</f>
        <v>Sports Cell</v>
      </c>
      <c r="N76" t="str">
        <f>VLOOKUP(A76,Faculty_Workload!A:P,14,FALSE)</f>
        <v>Even</v>
      </c>
      <c r="O76" t="str">
        <f>VLOOKUP(A76,Faculty_Workload!A:P,15,FALSE)</f>
        <v>2025-26</v>
      </c>
    </row>
    <row r="77" spans="1:15" x14ac:dyDescent="0.3">
      <c r="A77" t="str">
        <f>VLOOKUP(Faculty_Workload!A77,Faculty_Workload!A:P,1,FALSE)</f>
        <v>FAC1076</v>
      </c>
      <c r="B77" t="str">
        <f>VLOOKUP(A77,Faculty_Workload!A:P,2,FALSE)</f>
        <v>Vikram Kumar</v>
      </c>
      <c r="C77" t="str">
        <f>IF(COUNTBLANK(Faculty_Workload!C77)=0,Faculty_Workload!C77,"Unknown")</f>
        <v>MCA</v>
      </c>
      <c r="D77" t="str">
        <f>VLOOKUP(A77,Faculty_Workload!A:P,4,FALSE)</f>
        <v>Associate Professor</v>
      </c>
      <c r="E77">
        <f>VLOOKUP(A77,Faculty_Workload!A:P,5,FALSE)</f>
        <v>16</v>
      </c>
      <c r="F77">
        <f>VLOOKUP(A77,Faculty_Workload!A:P,6,FALSE)</f>
        <v>2</v>
      </c>
      <c r="G77">
        <f>VLOOKUP(A77,Faculty_Workload!A:P,7,FALSE)</f>
        <v>11</v>
      </c>
      <c r="H77">
        <f>VLOOKUP(A77,Faculty_Workload!A:P,8,FALSE)</f>
        <v>2</v>
      </c>
      <c r="I77">
        <f>VLOOKUP(A77,Faculty_Workload!A:P,9,FALSE)</f>
        <v>13</v>
      </c>
      <c r="J77">
        <f>VLOOKUP(A77,Faculty_Workload!A:P,10,FALSE)</f>
        <v>20</v>
      </c>
      <c r="K77" t="str">
        <f t="shared" si="1"/>
        <v>Underworked</v>
      </c>
      <c r="L77" t="str">
        <f>VLOOKUP(A77,Faculty_Workload!A:P,12,FALSE)</f>
        <v>Sports Cell</v>
      </c>
      <c r="N77" t="str">
        <f>VLOOKUP(A77,Faculty_Workload!A:P,14,FALSE)</f>
        <v>Even</v>
      </c>
      <c r="O77" t="str">
        <f>VLOOKUP(A77,Faculty_Workload!A:P,15,FALSE)</f>
        <v>2023-24</v>
      </c>
    </row>
    <row r="78" spans="1:15" x14ac:dyDescent="0.3">
      <c r="A78" t="str">
        <f>VLOOKUP(Faculty_Workload!A78,Faculty_Workload!A:P,1,FALSE)</f>
        <v>FAC1077</v>
      </c>
      <c r="B78" t="str">
        <f>VLOOKUP(A78,Faculty_Workload!A:P,2,FALSE)</f>
        <v>Nisha Yadav</v>
      </c>
      <c r="C78" t="str">
        <f>IF(COUNTBLANK(Faculty_Workload!C78)=0,Faculty_Workload!C78,"Unknown")</f>
        <v>ME</v>
      </c>
      <c r="D78" t="str">
        <f>VLOOKUP(A78,Faculty_Workload!A:P,4,FALSE)</f>
        <v>Senior Lecturer</v>
      </c>
      <c r="E78">
        <f>VLOOKUP(A78,Faculty_Workload!A:P,5,FALSE)</f>
        <v>9</v>
      </c>
      <c r="F78">
        <f>VLOOKUP(A78,Faculty_Workload!A:P,6,FALSE)</f>
        <v>2</v>
      </c>
      <c r="G78">
        <f>VLOOKUP(A78,Faculty_Workload!A:P,7,FALSE)</f>
        <v>13</v>
      </c>
      <c r="H78">
        <f>VLOOKUP(A78,Faculty_Workload!A:P,8,FALSE)</f>
        <v>5</v>
      </c>
      <c r="I78">
        <f>VLOOKUP(A78,Faculty_Workload!A:P,9,FALSE)</f>
        <v>18</v>
      </c>
      <c r="J78">
        <f>VLOOKUP(A78,Faculty_Workload!A:P,10,FALSE)</f>
        <v>20</v>
      </c>
      <c r="K78" t="str">
        <f t="shared" si="1"/>
        <v>Underworked</v>
      </c>
      <c r="L78" t="str">
        <f>VLOOKUP(A78,Faculty_Workload!A:P,12,FALSE)</f>
        <v>None</v>
      </c>
      <c r="N78" t="str">
        <f>VLOOKUP(A78,Faculty_Workload!A:P,14,FALSE)</f>
        <v>Even</v>
      </c>
      <c r="O78" t="str">
        <f>VLOOKUP(A78,Faculty_Workload!A:P,15,FALSE)</f>
        <v>2023-24</v>
      </c>
    </row>
    <row r="79" spans="1:15" x14ac:dyDescent="0.3">
      <c r="A79" t="str">
        <f>VLOOKUP(Faculty_Workload!A79,Faculty_Workload!A:P,1,FALSE)</f>
        <v>FAC1078</v>
      </c>
      <c r="B79" t="str">
        <f>VLOOKUP(A79,Faculty_Workload!A:P,2,FALSE)</f>
        <v>Priya Kumar</v>
      </c>
      <c r="C79" t="str">
        <f>IF(COUNTBLANK(Faculty_Workload!C79)=0,Faculty_Workload!C79,"Unknown")</f>
        <v>MCA</v>
      </c>
      <c r="D79" t="str">
        <f>VLOOKUP(A79,Faculty_Workload!A:P,4,FALSE)</f>
        <v>Lecturer</v>
      </c>
      <c r="E79">
        <f>VLOOKUP(A79,Faculty_Workload!A:P,5,FALSE)</f>
        <v>2</v>
      </c>
      <c r="F79">
        <f>VLOOKUP(A79,Faculty_Workload!A:P,6,FALSE)</f>
        <v>1</v>
      </c>
      <c r="G79">
        <f>VLOOKUP(A79,Faculty_Workload!A:P,7,FALSE)</f>
        <v>11</v>
      </c>
      <c r="H79">
        <f>VLOOKUP(A79,Faculty_Workload!A:P,8,FALSE)</f>
        <v>6</v>
      </c>
      <c r="I79">
        <f>VLOOKUP(A79,Faculty_Workload!A:P,9,FALSE)</f>
        <v>17</v>
      </c>
      <c r="J79">
        <f>VLOOKUP(A79,Faculty_Workload!A:P,10,FALSE)</f>
        <v>20</v>
      </c>
      <c r="K79" t="str">
        <f t="shared" si="1"/>
        <v>Underworked</v>
      </c>
      <c r="L79" t="str">
        <f>VLOOKUP(A79,Faculty_Workload!A:P,12,FALSE)</f>
        <v>None</v>
      </c>
      <c r="N79" t="str">
        <f>VLOOKUP(A79,Faculty_Workload!A:P,14,FALSE)</f>
        <v>Odd</v>
      </c>
      <c r="O79" t="str">
        <f>VLOOKUP(A79,Faculty_Workload!A:P,15,FALSE)</f>
        <v>2024-25</v>
      </c>
    </row>
    <row r="80" spans="1:15" x14ac:dyDescent="0.3">
      <c r="A80" t="str">
        <f>VLOOKUP(Faculty_Workload!A80,Faculty_Workload!A:P,1,FALSE)</f>
        <v>FAC1079</v>
      </c>
      <c r="B80" t="str">
        <f>VLOOKUP(A80,Faculty_Workload!A:P,2,FALSE)</f>
        <v>Kavya Agarwal</v>
      </c>
      <c r="C80" t="str">
        <f>IF(COUNTBLANK(Faculty_Workload!C80)=0,Faculty_Workload!C80,"Unknown")</f>
        <v>CSE</v>
      </c>
      <c r="D80" t="str">
        <f>VLOOKUP(A80,Faculty_Workload!A:P,4,FALSE)</f>
        <v>Associate Professor</v>
      </c>
      <c r="E80">
        <f>VLOOKUP(A80,Faculty_Workload!A:P,5,FALSE)</f>
        <v>24</v>
      </c>
      <c r="F80">
        <f>VLOOKUP(A80,Faculty_Workload!A:P,6,FALSE)</f>
        <v>1</v>
      </c>
      <c r="G80">
        <f>VLOOKUP(A80,Faculty_Workload!A:P,7,FALSE)</f>
        <v>15</v>
      </c>
      <c r="H80">
        <f>VLOOKUP(A80,Faculty_Workload!A:P,8,FALSE)</f>
        <v>1</v>
      </c>
      <c r="I80">
        <f>VLOOKUP(A80,Faculty_Workload!A:P,9,FALSE)</f>
        <v>16</v>
      </c>
      <c r="J80">
        <f>VLOOKUP(A80,Faculty_Workload!A:P,10,FALSE)</f>
        <v>20</v>
      </c>
      <c r="K80" t="str">
        <f t="shared" si="1"/>
        <v>Underworked</v>
      </c>
      <c r="L80" t="str">
        <f>VLOOKUP(A80,Faculty_Workload!A:P,12,FALSE)</f>
        <v>None</v>
      </c>
      <c r="N80" t="str">
        <f>VLOOKUP(A80,Faculty_Workload!A:P,14,FALSE)</f>
        <v>Odd</v>
      </c>
      <c r="O80" t="str">
        <f>VLOOKUP(A80,Faculty_Workload!A:P,15,FALSE)</f>
        <v>2024-25</v>
      </c>
    </row>
    <row r="81" spans="1:15" x14ac:dyDescent="0.3">
      <c r="A81" t="str">
        <f>VLOOKUP(Faculty_Workload!A81,Faculty_Workload!A:P,1,FALSE)</f>
        <v>FAC1080</v>
      </c>
      <c r="B81" t="str">
        <f>VLOOKUP(A81,Faculty_Workload!A:P,2,FALSE)</f>
        <v>Kavya Mishra</v>
      </c>
      <c r="C81" t="str">
        <f>IF(COUNTBLANK(Faculty_Workload!C81)=0,Faculty_Workload!C81,"Unknown")</f>
        <v>MBA</v>
      </c>
      <c r="D81" t="str">
        <f>VLOOKUP(A81,Faculty_Workload!A:P,4,FALSE)</f>
        <v>Lecturer</v>
      </c>
      <c r="E81">
        <f>VLOOKUP(A81,Faculty_Workload!A:P,5,FALSE)</f>
        <v>12</v>
      </c>
      <c r="F81">
        <f>VLOOKUP(A81,Faculty_Workload!A:P,6,FALSE)</f>
        <v>3</v>
      </c>
      <c r="G81">
        <f>VLOOKUP(A81,Faculty_Workload!A:P,7,FALSE)</f>
        <v>12</v>
      </c>
      <c r="H81">
        <f>VLOOKUP(A81,Faculty_Workload!A:P,8,FALSE)</f>
        <v>2</v>
      </c>
      <c r="I81">
        <f>VLOOKUP(A81,Faculty_Workload!A:P,9,FALSE)</f>
        <v>14</v>
      </c>
      <c r="J81">
        <f>VLOOKUP(A81,Faculty_Workload!A:P,10,FALSE)</f>
        <v>20</v>
      </c>
      <c r="K81" t="str">
        <f t="shared" si="1"/>
        <v>Underworked</v>
      </c>
      <c r="L81" t="str">
        <f>VLOOKUP(A81,Faculty_Workload!A:P,12,FALSE)</f>
        <v>Library Committee</v>
      </c>
      <c r="N81" t="str">
        <f>VLOOKUP(A81,Faculty_Workload!A:P,14,FALSE)</f>
        <v>Even</v>
      </c>
      <c r="O81" t="str">
        <f>VLOOKUP(A81,Faculty_Workload!A:P,15,FALSE)</f>
        <v>2023-24</v>
      </c>
    </row>
    <row r="82" spans="1:15" x14ac:dyDescent="0.3">
      <c r="A82" t="str">
        <f>VLOOKUP(Faculty_Workload!A82,Faculty_Workload!A:P,1,FALSE)</f>
        <v>FAC1081</v>
      </c>
      <c r="B82" t="str">
        <f>VLOOKUP(A82,Faculty_Workload!A:P,2,FALSE)</f>
        <v>Ravi Agarwal</v>
      </c>
      <c r="C82" t="str">
        <f>IF(COUNTBLANK(Faculty_Workload!C82)=0,Faculty_Workload!C82,"Unknown")</f>
        <v>CE</v>
      </c>
      <c r="D82" t="str">
        <f>VLOOKUP(A82,Faculty_Workload!A:P,4,FALSE)</f>
        <v>Professor</v>
      </c>
      <c r="E82">
        <f>VLOOKUP(A82,Faculty_Workload!A:P,5,FALSE)</f>
        <v>14</v>
      </c>
      <c r="F82">
        <f>VLOOKUP(A82,Faculty_Workload!A:P,6,FALSE)</f>
        <v>1</v>
      </c>
      <c r="G82">
        <f>VLOOKUP(A82,Faculty_Workload!A:P,7,FALSE)</f>
        <v>17</v>
      </c>
      <c r="H82">
        <f>VLOOKUP(A82,Faculty_Workload!A:P,8,FALSE)</f>
        <v>6</v>
      </c>
      <c r="I82">
        <f>VLOOKUP(A82,Faculty_Workload!A:P,9,FALSE)</f>
        <v>23</v>
      </c>
      <c r="J82">
        <f>VLOOKUP(A82,Faculty_Workload!A:P,10,FALSE)</f>
        <v>18</v>
      </c>
      <c r="K82" t="str">
        <f t="shared" si="1"/>
        <v>Overworked</v>
      </c>
      <c r="L82" t="str">
        <f>VLOOKUP(A82,Faculty_Workload!A:P,12,FALSE)</f>
        <v>Sports Cell</v>
      </c>
      <c r="N82" t="str">
        <f>VLOOKUP(A82,Faculty_Workload!A:P,14,FALSE)</f>
        <v>Odd</v>
      </c>
      <c r="O82" t="str">
        <f>VLOOKUP(A82,Faculty_Workload!A:P,15,FALSE)</f>
        <v>2024-25</v>
      </c>
    </row>
    <row r="83" spans="1:15" x14ac:dyDescent="0.3">
      <c r="A83" t="str">
        <f>VLOOKUP(Faculty_Workload!A83,Faculty_Workload!A:P,1,FALSE)</f>
        <v>FAC1082</v>
      </c>
      <c r="B83" t="str">
        <f>VLOOKUP(A83,Faculty_Workload!A:P,2,FALSE)</f>
        <v>Kavya Singh</v>
      </c>
      <c r="C83" t="str">
        <f>IF(COUNTBLANK(Faculty_Workload!C83)=0,Faculty_Workload!C83,"Unknown")</f>
        <v>CE</v>
      </c>
      <c r="D83" t="str">
        <f>VLOOKUP(A83,Faculty_Workload!A:P,4,FALSE)</f>
        <v>Professor</v>
      </c>
      <c r="E83">
        <f>VLOOKUP(A83,Faculty_Workload!A:P,5,FALSE)</f>
        <v>13</v>
      </c>
      <c r="F83">
        <f>VLOOKUP(A83,Faculty_Workload!A:P,6,FALSE)</f>
        <v>2</v>
      </c>
      <c r="G83">
        <f>VLOOKUP(A83,Faculty_Workload!A:P,7,FALSE)</f>
        <v>15</v>
      </c>
      <c r="H83">
        <f>VLOOKUP(A83,Faculty_Workload!A:P,8,FALSE)</f>
        <v>4</v>
      </c>
      <c r="I83">
        <f>VLOOKUP(A83,Faculty_Workload!A:P,9,FALSE)</f>
        <v>19</v>
      </c>
      <c r="J83">
        <f>VLOOKUP(A83,Faculty_Workload!A:P,10,FALSE)</f>
        <v>18</v>
      </c>
      <c r="K83" t="str">
        <f t="shared" si="1"/>
        <v>Overworked</v>
      </c>
      <c r="L83" t="str">
        <f>VLOOKUP(A83,Faculty_Workload!A:P,12,FALSE)</f>
        <v>Library Committee</v>
      </c>
      <c r="N83" t="str">
        <f>VLOOKUP(A83,Faculty_Workload!A:P,14,FALSE)</f>
        <v>Even</v>
      </c>
      <c r="O83" t="str">
        <f>VLOOKUP(A83,Faculty_Workload!A:P,15,FALSE)</f>
        <v>2024-25</v>
      </c>
    </row>
    <row r="84" spans="1:15" x14ac:dyDescent="0.3">
      <c r="A84" t="str">
        <f>VLOOKUP(Faculty_Workload!A84,Faculty_Workload!A:P,1,FALSE)</f>
        <v>FAC1083</v>
      </c>
      <c r="B84" t="str">
        <f>VLOOKUP(A84,Faculty_Workload!A:P,2,FALSE)</f>
        <v>Arun Singh</v>
      </c>
      <c r="C84" t="str">
        <f>IF(COUNTBLANK(Faculty_Workload!C84)=0,Faculty_Workload!C84,"Unknown")</f>
        <v>IT</v>
      </c>
      <c r="D84" t="str">
        <f>VLOOKUP(A84,Faculty_Workload!A:P,4,FALSE)</f>
        <v>Associate Professor</v>
      </c>
      <c r="E84">
        <f>VLOOKUP(A84,Faculty_Workload!A:P,5,FALSE)</f>
        <v>24</v>
      </c>
      <c r="F84">
        <f>VLOOKUP(A84,Faculty_Workload!A:P,6,FALSE)</f>
        <v>4</v>
      </c>
      <c r="G84">
        <f>VLOOKUP(A84,Faculty_Workload!A:P,7,FALSE)</f>
        <v>10</v>
      </c>
      <c r="H84">
        <f>VLOOKUP(A84,Faculty_Workload!A:P,8,FALSE)</f>
        <v>4</v>
      </c>
      <c r="I84">
        <f>VLOOKUP(A84,Faculty_Workload!A:P,9,FALSE)</f>
        <v>14</v>
      </c>
      <c r="J84">
        <f>VLOOKUP(A84,Faculty_Workload!A:P,10,FALSE)</f>
        <v>20</v>
      </c>
      <c r="K84" t="str">
        <f t="shared" si="1"/>
        <v>Underworked</v>
      </c>
      <c r="L84" t="str">
        <f>VLOOKUP(A84,Faculty_Workload!A:P,12,FALSE)</f>
        <v>Exam Cell</v>
      </c>
      <c r="N84" t="str">
        <f>VLOOKUP(A84,Faculty_Workload!A:P,14,FALSE)</f>
        <v>Odd</v>
      </c>
      <c r="O84" t="str">
        <f>VLOOKUP(A84,Faculty_Workload!A:P,15,FALSE)</f>
        <v>2023-24</v>
      </c>
    </row>
    <row r="85" spans="1:15" x14ac:dyDescent="0.3">
      <c r="A85" t="str">
        <f>VLOOKUP(Faculty_Workload!A85,Faculty_Workload!A:P,1,FALSE)</f>
        <v>FAC1084</v>
      </c>
      <c r="B85" t="str">
        <f>VLOOKUP(A85,Faculty_Workload!A:P,2,FALSE)</f>
        <v>Amit Mishra</v>
      </c>
      <c r="C85" t="str">
        <f>IF(COUNTBLANK(Faculty_Workload!C85)=0,Faculty_Workload!C85,"Unknown")</f>
        <v>ME</v>
      </c>
      <c r="D85" t="str">
        <f>VLOOKUP(A85,Faculty_Workload!A:P,4,FALSE)</f>
        <v>Associate Professor</v>
      </c>
      <c r="E85">
        <f>VLOOKUP(A85,Faculty_Workload!A:P,5,FALSE)</f>
        <v>23</v>
      </c>
      <c r="F85">
        <f>VLOOKUP(A85,Faculty_Workload!A:P,6,FALSE)</f>
        <v>2</v>
      </c>
      <c r="G85">
        <f>VLOOKUP(A85,Faculty_Workload!A:P,7,FALSE)</f>
        <v>8</v>
      </c>
      <c r="H85">
        <f>VLOOKUP(A85,Faculty_Workload!A:P,8,FALSE)</f>
        <v>1</v>
      </c>
      <c r="I85">
        <f>VLOOKUP(A85,Faculty_Workload!A:P,9,FALSE)</f>
        <v>9</v>
      </c>
      <c r="J85">
        <f>VLOOKUP(A85,Faculty_Workload!A:P,10,FALSE)</f>
        <v>20</v>
      </c>
      <c r="K85" t="str">
        <f t="shared" si="1"/>
        <v>Underworked</v>
      </c>
      <c r="L85" t="str">
        <f>VLOOKUP(A85,Faculty_Workload!A:P,12,FALSE)</f>
        <v>Library Committee</v>
      </c>
      <c r="N85" t="str">
        <f>VLOOKUP(A85,Faculty_Workload!A:P,14,FALSE)</f>
        <v>Even</v>
      </c>
      <c r="O85" t="str">
        <f>VLOOKUP(A85,Faculty_Workload!A:P,15,FALSE)</f>
        <v>2023-24</v>
      </c>
    </row>
    <row r="86" spans="1:15" x14ac:dyDescent="0.3">
      <c r="A86" t="str">
        <f>VLOOKUP(Faculty_Workload!A86,Faculty_Workload!A:P,1,FALSE)</f>
        <v>FAC1085</v>
      </c>
      <c r="B86" t="str">
        <f>VLOOKUP(A86,Faculty_Workload!A:P,2,FALSE)</f>
        <v>Rekha Joshi</v>
      </c>
      <c r="C86" t="str">
        <f>IF(COUNTBLANK(Faculty_Workload!C86)=0,Faculty_Workload!C86,"Unknown")</f>
        <v>CSE</v>
      </c>
      <c r="D86" t="str">
        <f>VLOOKUP(A86,Faculty_Workload!A:P,4,FALSE)</f>
        <v>Assistant Professor</v>
      </c>
      <c r="E86">
        <f>VLOOKUP(A86,Faculty_Workload!A:P,5,FALSE)</f>
        <v>18</v>
      </c>
      <c r="F86">
        <f>VLOOKUP(A86,Faculty_Workload!A:P,6,FALSE)</f>
        <v>4</v>
      </c>
      <c r="G86">
        <f>VLOOKUP(A86,Faculty_Workload!A:P,7,FALSE)</f>
        <v>8</v>
      </c>
      <c r="H86">
        <f>VLOOKUP(A86,Faculty_Workload!A:P,8,FALSE)</f>
        <v>0</v>
      </c>
      <c r="I86">
        <f>VLOOKUP(A86,Faculty_Workload!A:P,9,FALSE)</f>
        <v>8</v>
      </c>
      <c r="J86">
        <f>VLOOKUP(A86,Faculty_Workload!A:P,10,FALSE)</f>
        <v>20</v>
      </c>
      <c r="K86" t="str">
        <f t="shared" si="1"/>
        <v>Underworked</v>
      </c>
      <c r="L86" t="str">
        <f>VLOOKUP(A86,Faculty_Workload!A:P,12,FALSE)</f>
        <v>Sports Cell</v>
      </c>
      <c r="N86" t="str">
        <f>VLOOKUP(A86,Faculty_Workload!A:P,14,FALSE)</f>
        <v>Even</v>
      </c>
      <c r="O86" t="str">
        <f>VLOOKUP(A86,Faculty_Workload!A:P,15,FALSE)</f>
        <v>2023-24</v>
      </c>
    </row>
    <row r="87" spans="1:15" x14ac:dyDescent="0.3">
      <c r="A87" t="str">
        <f>VLOOKUP(Faculty_Workload!A87,Faculty_Workload!A:P,1,FALSE)</f>
        <v>FAC1086</v>
      </c>
      <c r="B87" t="str">
        <f>VLOOKUP(A87,Faculty_Workload!A:P,2,FALSE)</f>
        <v>Anita Verma</v>
      </c>
      <c r="C87" t="str">
        <f>IF(COUNTBLANK(Faculty_Workload!C87)=0,Faculty_Workload!C87,"Unknown")</f>
        <v>ECE</v>
      </c>
      <c r="D87" t="str">
        <f>VLOOKUP(A87,Faculty_Workload!A:P,4,FALSE)</f>
        <v>Lecturer</v>
      </c>
      <c r="E87">
        <f>VLOOKUP(A87,Faculty_Workload!A:P,5,FALSE)</f>
        <v>8</v>
      </c>
      <c r="F87">
        <f>VLOOKUP(A87,Faculty_Workload!A:P,6,FALSE)</f>
        <v>2</v>
      </c>
      <c r="G87">
        <f>VLOOKUP(A87,Faculty_Workload!A:P,7,FALSE)</f>
        <v>17</v>
      </c>
      <c r="H87">
        <f>VLOOKUP(A87,Faculty_Workload!A:P,8,FALSE)</f>
        <v>4</v>
      </c>
      <c r="I87">
        <f>VLOOKUP(A87,Faculty_Workload!A:P,9,FALSE)</f>
        <v>21</v>
      </c>
      <c r="J87">
        <f>VLOOKUP(A87,Faculty_Workload!A:P,10,FALSE)</f>
        <v>20</v>
      </c>
      <c r="K87" t="str">
        <f t="shared" si="1"/>
        <v>Overworked</v>
      </c>
      <c r="L87" t="str">
        <f>VLOOKUP(A87,Faculty_Workload!A:P,12,FALSE)</f>
        <v>None</v>
      </c>
      <c r="N87" t="str">
        <f>VLOOKUP(A87,Faculty_Workload!A:P,14,FALSE)</f>
        <v>Even</v>
      </c>
      <c r="O87" t="str">
        <f>VLOOKUP(A87,Faculty_Workload!A:P,15,FALSE)</f>
        <v>2024-25</v>
      </c>
    </row>
    <row r="88" spans="1:15" x14ac:dyDescent="0.3">
      <c r="A88" t="str">
        <f>VLOOKUP(Faculty_Workload!A88,Faculty_Workload!A:P,1,FALSE)</f>
        <v>FAC1087</v>
      </c>
      <c r="B88" t="str">
        <f>VLOOKUP(A88,Faculty_Workload!A:P,2,FALSE)</f>
        <v>Sanjay Joshi</v>
      </c>
      <c r="C88" t="str">
        <f>IF(COUNTBLANK(Faculty_Workload!C88)=0,Faculty_Workload!C88,"Unknown")</f>
        <v>CE</v>
      </c>
      <c r="D88" t="str">
        <f>VLOOKUP(A88,Faculty_Workload!A:P,4,FALSE)</f>
        <v>Associate Professor</v>
      </c>
      <c r="E88">
        <f>VLOOKUP(A88,Faculty_Workload!A:P,5,FALSE)</f>
        <v>22</v>
      </c>
      <c r="F88">
        <f>VLOOKUP(A88,Faculty_Workload!A:P,6,FALSE)</f>
        <v>1</v>
      </c>
      <c r="G88">
        <f>VLOOKUP(A88,Faculty_Workload!A:P,7,FALSE)</f>
        <v>18</v>
      </c>
      <c r="H88">
        <f>VLOOKUP(A88,Faculty_Workload!A:P,8,FALSE)</f>
        <v>6</v>
      </c>
      <c r="I88">
        <f>VLOOKUP(A88,Faculty_Workload!A:P,9,FALSE)</f>
        <v>24</v>
      </c>
      <c r="J88">
        <f>VLOOKUP(A88,Faculty_Workload!A:P,10,FALSE)</f>
        <v>20</v>
      </c>
      <c r="K88" t="str">
        <f t="shared" si="1"/>
        <v>Overworked</v>
      </c>
      <c r="L88" t="str">
        <f>VLOOKUP(A88,Faculty_Workload!A:P,12,FALSE)</f>
        <v>Sports Cell</v>
      </c>
      <c r="N88" t="str">
        <f>VLOOKUP(A88,Faculty_Workload!A:P,14,FALSE)</f>
        <v>Odd</v>
      </c>
      <c r="O88" t="str">
        <f>VLOOKUP(A88,Faculty_Workload!A:P,15,FALSE)</f>
        <v>2024-25</v>
      </c>
    </row>
    <row r="89" spans="1:15" x14ac:dyDescent="0.3">
      <c r="A89" t="str">
        <f>VLOOKUP(Faculty_Workload!A89,Faculty_Workload!A:P,1,FALSE)</f>
        <v>FAC1088</v>
      </c>
      <c r="B89" t="str">
        <f>VLOOKUP(A89,Faculty_Workload!A:P,2,FALSE)</f>
        <v>Lata Joshi</v>
      </c>
      <c r="C89" t="str">
        <f>IF(COUNTBLANK(Faculty_Workload!C89)=0,Faculty_Workload!C89,"Unknown")</f>
        <v>CSE</v>
      </c>
      <c r="D89" t="str">
        <f>VLOOKUP(A89,Faculty_Workload!A:P,4,FALSE)</f>
        <v>Assistant Professor</v>
      </c>
      <c r="E89">
        <f>VLOOKUP(A89,Faculty_Workload!A:P,5,FALSE)</f>
        <v>6</v>
      </c>
      <c r="F89">
        <f>VLOOKUP(A89,Faculty_Workload!A:P,6,FALSE)</f>
        <v>1</v>
      </c>
      <c r="G89">
        <f>VLOOKUP(A89,Faculty_Workload!A:P,7,FALSE)</f>
        <v>15</v>
      </c>
      <c r="H89">
        <f>VLOOKUP(A89,Faculty_Workload!A:P,8,FALSE)</f>
        <v>6</v>
      </c>
      <c r="I89">
        <f>VLOOKUP(A89,Faculty_Workload!A:P,9,FALSE)</f>
        <v>21</v>
      </c>
      <c r="J89">
        <f>VLOOKUP(A89,Faculty_Workload!A:P,10,FALSE)</f>
        <v>20</v>
      </c>
      <c r="K89" t="str">
        <f t="shared" si="1"/>
        <v>Overworked</v>
      </c>
      <c r="L89" t="str">
        <f>VLOOKUP(A89,Faculty_Workload!A:P,12,FALSE)</f>
        <v>None</v>
      </c>
      <c r="N89" t="str">
        <f>VLOOKUP(A89,Faculty_Workload!A:P,14,FALSE)</f>
        <v>Odd</v>
      </c>
      <c r="O89" t="str">
        <f>VLOOKUP(A89,Faculty_Workload!A:P,15,FALSE)</f>
        <v>2025-26</v>
      </c>
    </row>
    <row r="90" spans="1:15" x14ac:dyDescent="0.3">
      <c r="A90" t="str">
        <f>VLOOKUP(Faculty_Workload!A90,Faculty_Workload!A:P,1,FALSE)</f>
        <v>FAC1089</v>
      </c>
      <c r="B90" t="str">
        <f>VLOOKUP(A90,Faculty_Workload!A:P,2,FALSE)</f>
        <v>Suresh Agarwal</v>
      </c>
      <c r="C90" t="str">
        <f>IF(COUNTBLANK(Faculty_Workload!C90)=0,Faculty_Workload!C90,"Unknown")</f>
        <v>MBA</v>
      </c>
      <c r="D90" t="str">
        <f>VLOOKUP(A90,Faculty_Workload!A:P,4,FALSE)</f>
        <v>Professor</v>
      </c>
      <c r="E90">
        <f>VLOOKUP(A90,Faculty_Workload!A:P,5,FALSE)</f>
        <v>30</v>
      </c>
      <c r="F90">
        <f>VLOOKUP(A90,Faculty_Workload!A:P,6,FALSE)</f>
        <v>1</v>
      </c>
      <c r="G90">
        <f>VLOOKUP(A90,Faculty_Workload!A:P,7,FALSE)</f>
        <v>18</v>
      </c>
      <c r="H90">
        <f>VLOOKUP(A90,Faculty_Workload!A:P,8,FALSE)</f>
        <v>2</v>
      </c>
      <c r="I90">
        <f>VLOOKUP(A90,Faculty_Workload!A:P,9,FALSE)</f>
        <v>20</v>
      </c>
      <c r="J90">
        <f>VLOOKUP(A90,Faculty_Workload!A:P,10,FALSE)</f>
        <v>18</v>
      </c>
      <c r="K90" t="str">
        <f t="shared" si="1"/>
        <v>Overworked</v>
      </c>
      <c r="L90" t="str">
        <f>VLOOKUP(A90,Faculty_Workload!A:P,12,FALSE)</f>
        <v>None</v>
      </c>
      <c r="N90" t="str">
        <f>VLOOKUP(A90,Faculty_Workload!A:P,14,FALSE)</f>
        <v>Odd</v>
      </c>
      <c r="O90" t="str">
        <f>VLOOKUP(A90,Faculty_Workload!A:P,15,FALSE)</f>
        <v>2023-24</v>
      </c>
    </row>
    <row r="91" spans="1:15" x14ac:dyDescent="0.3">
      <c r="A91" t="str">
        <f>VLOOKUP(Faculty_Workload!A91,Faculty_Workload!A:P,1,FALSE)</f>
        <v>FAC1090</v>
      </c>
      <c r="B91" t="str">
        <f>VLOOKUP(A91,Faculty_Workload!A:P,2,FALSE)</f>
        <v>Amit Gupta</v>
      </c>
      <c r="C91" t="str">
        <f>IF(COUNTBLANK(Faculty_Workload!C91)=0,Faculty_Workload!C91,"Unknown")</f>
        <v>ME</v>
      </c>
      <c r="D91" t="str">
        <f>VLOOKUP(A91,Faculty_Workload!A:P,4,FALSE)</f>
        <v>Senior Lecturer</v>
      </c>
      <c r="E91">
        <f>VLOOKUP(A91,Faculty_Workload!A:P,5,FALSE)</f>
        <v>10</v>
      </c>
      <c r="F91">
        <f>VLOOKUP(A91,Faculty_Workload!A:P,6,FALSE)</f>
        <v>2</v>
      </c>
      <c r="G91">
        <f>VLOOKUP(A91,Faculty_Workload!A:P,7,FALSE)</f>
        <v>17</v>
      </c>
      <c r="H91">
        <f>VLOOKUP(A91,Faculty_Workload!A:P,8,FALSE)</f>
        <v>1</v>
      </c>
      <c r="I91">
        <f>VLOOKUP(A91,Faculty_Workload!A:P,9,FALSE)</f>
        <v>18</v>
      </c>
      <c r="J91">
        <f>VLOOKUP(A91,Faculty_Workload!A:P,10,FALSE)</f>
        <v>20</v>
      </c>
      <c r="K91" t="str">
        <f t="shared" si="1"/>
        <v>Underworked</v>
      </c>
      <c r="L91" t="str">
        <f>VLOOKUP(A91,Faculty_Workload!A:P,12,FALSE)</f>
        <v>Research Cell</v>
      </c>
      <c r="N91" t="str">
        <f>VLOOKUP(A91,Faculty_Workload!A:P,14,FALSE)</f>
        <v>Even</v>
      </c>
      <c r="O91" t="str">
        <f>VLOOKUP(A91,Faculty_Workload!A:P,15,FALSE)</f>
        <v>2024-25</v>
      </c>
    </row>
    <row r="92" spans="1:15" x14ac:dyDescent="0.3">
      <c r="A92" t="str">
        <f>VLOOKUP(Faculty_Workload!A92,Faculty_Workload!A:P,1,FALSE)</f>
        <v>FAC1091</v>
      </c>
      <c r="B92" t="str">
        <f>VLOOKUP(A92,Faculty_Workload!A:P,2,FALSE)</f>
        <v>Harish Chaudhary</v>
      </c>
      <c r="C92" t="str">
        <f>IF(COUNTBLANK(Faculty_Workload!C92)=0,Faculty_Workload!C92,"Unknown")</f>
        <v>ECE</v>
      </c>
      <c r="D92" t="str">
        <f>VLOOKUP(A92,Faculty_Workload!A:P,4,FALSE)</f>
        <v>Lecturer</v>
      </c>
      <c r="E92">
        <f>VLOOKUP(A92,Faculty_Workload!A:P,5,FALSE)</f>
        <v>12</v>
      </c>
      <c r="F92">
        <f>VLOOKUP(A92,Faculty_Workload!A:P,6,FALSE)</f>
        <v>1</v>
      </c>
      <c r="G92">
        <f>VLOOKUP(A92,Faculty_Workload!A:P,7,FALSE)</f>
        <v>9</v>
      </c>
      <c r="H92">
        <f>VLOOKUP(A92,Faculty_Workload!A:P,8,FALSE)</f>
        <v>3</v>
      </c>
      <c r="I92">
        <f>VLOOKUP(A92,Faculty_Workload!A:P,9,FALSE)</f>
        <v>12</v>
      </c>
      <c r="J92">
        <f>VLOOKUP(A92,Faculty_Workload!A:P,10,FALSE)</f>
        <v>20</v>
      </c>
      <c r="K92" t="str">
        <f t="shared" si="1"/>
        <v>Underworked</v>
      </c>
      <c r="L92" t="str">
        <f>VLOOKUP(A92,Faculty_Workload!A:P,12,FALSE)</f>
        <v>Sports Cell</v>
      </c>
      <c r="N92" t="str">
        <f>VLOOKUP(A92,Faculty_Workload!A:P,14,FALSE)</f>
        <v>Even</v>
      </c>
      <c r="O92" t="str">
        <f>VLOOKUP(A92,Faculty_Workload!A:P,15,FALSE)</f>
        <v>2025-26</v>
      </c>
    </row>
    <row r="93" spans="1:15" x14ac:dyDescent="0.3">
      <c r="A93" t="str">
        <f>VLOOKUP(Faculty_Workload!A93,Faculty_Workload!A:P,1,FALSE)</f>
        <v>FAC1092</v>
      </c>
      <c r="B93" t="str">
        <f>VLOOKUP(A93,Faculty_Workload!A:P,2,FALSE)</f>
        <v>Ravi Sharma</v>
      </c>
      <c r="C93" t="str">
        <f>IF(COUNTBLANK(Faculty_Workload!C93)=0,Faculty_Workload!C93,"Unknown")</f>
        <v>EEE</v>
      </c>
      <c r="D93" t="str">
        <f>VLOOKUP(A93,Faculty_Workload!A:P,4,FALSE)</f>
        <v>Senior Lecturer</v>
      </c>
      <c r="E93">
        <f>VLOOKUP(A93,Faculty_Workload!A:P,5,FALSE)</f>
        <v>8</v>
      </c>
      <c r="F93">
        <f>VLOOKUP(A93,Faculty_Workload!A:P,6,FALSE)</f>
        <v>3</v>
      </c>
      <c r="G93">
        <f>VLOOKUP(A93,Faculty_Workload!A:P,7,FALSE)</f>
        <v>16</v>
      </c>
      <c r="H93">
        <f>VLOOKUP(A93,Faculty_Workload!A:P,8,FALSE)</f>
        <v>3</v>
      </c>
      <c r="I93">
        <f>VLOOKUP(A93,Faculty_Workload!A:P,9,FALSE)</f>
        <v>19</v>
      </c>
      <c r="J93">
        <f>VLOOKUP(A93,Faculty_Workload!A:P,10,FALSE)</f>
        <v>20</v>
      </c>
      <c r="K93" t="str">
        <f t="shared" si="1"/>
        <v>Underworked</v>
      </c>
      <c r="L93" t="str">
        <f>VLOOKUP(A93,Faculty_Workload!A:P,12,FALSE)</f>
        <v>None</v>
      </c>
      <c r="N93" t="str">
        <f>VLOOKUP(A93,Faculty_Workload!A:P,14,FALSE)</f>
        <v>Even</v>
      </c>
      <c r="O93" t="str">
        <f>VLOOKUP(A93,Faculty_Workload!A:P,15,FALSE)</f>
        <v>2023-24</v>
      </c>
    </row>
    <row r="94" spans="1:15" x14ac:dyDescent="0.3">
      <c r="A94" t="str">
        <f>VLOOKUP(Faculty_Workload!A94,Faculty_Workload!A:P,1,FALSE)</f>
        <v>FAC1093</v>
      </c>
      <c r="B94" t="str">
        <f>VLOOKUP(A94,Faculty_Workload!A:P,2,FALSE)</f>
        <v>Meena Chaudhary</v>
      </c>
      <c r="C94" t="str">
        <f>IF(COUNTBLANK(Faculty_Workload!C94)=0,Faculty_Workload!C94,"Unknown")</f>
        <v>ECE</v>
      </c>
      <c r="D94" t="str">
        <f>VLOOKUP(A94,Faculty_Workload!A:P,4,FALSE)</f>
        <v>Assistant Professor</v>
      </c>
      <c r="E94">
        <f>VLOOKUP(A94,Faculty_Workload!A:P,5,FALSE)</f>
        <v>5</v>
      </c>
      <c r="F94">
        <f>VLOOKUP(A94,Faculty_Workload!A:P,6,FALSE)</f>
        <v>4</v>
      </c>
      <c r="G94">
        <f>VLOOKUP(A94,Faculty_Workload!A:P,7,FALSE)</f>
        <v>18</v>
      </c>
      <c r="H94">
        <f>VLOOKUP(A94,Faculty_Workload!A:P,8,FALSE)</f>
        <v>1</v>
      </c>
      <c r="I94">
        <f>VLOOKUP(A94,Faculty_Workload!A:P,9,FALSE)</f>
        <v>19</v>
      </c>
      <c r="J94">
        <f>VLOOKUP(A94,Faculty_Workload!A:P,10,FALSE)</f>
        <v>20</v>
      </c>
      <c r="K94" t="str">
        <f t="shared" si="1"/>
        <v>Underworked</v>
      </c>
      <c r="L94" t="str">
        <f>VLOOKUP(A94,Faculty_Workload!A:P,12,FALSE)</f>
        <v>Time Table Committee</v>
      </c>
      <c r="N94" t="str">
        <f>VLOOKUP(A94,Faculty_Workload!A:P,14,FALSE)</f>
        <v>Even</v>
      </c>
      <c r="O94" t="str">
        <f>VLOOKUP(A94,Faculty_Workload!A:P,15,FALSE)</f>
        <v>2024-25</v>
      </c>
    </row>
    <row r="95" spans="1:15" x14ac:dyDescent="0.3">
      <c r="A95" t="str">
        <f>VLOOKUP(Faculty_Workload!A95,Faculty_Workload!A:P,1,FALSE)</f>
        <v>FAC1094</v>
      </c>
      <c r="B95" t="str">
        <f>VLOOKUP(A95,Faculty_Workload!A:P,2,FALSE)</f>
        <v>Amit Kumar</v>
      </c>
      <c r="C95" t="str">
        <f>IF(COUNTBLANK(Faculty_Workload!C95)=0,Faculty_Workload!C95,"Unknown")</f>
        <v>MBA</v>
      </c>
      <c r="D95" t="str">
        <f>VLOOKUP(A95,Faculty_Workload!A:P,4,FALSE)</f>
        <v>Professor</v>
      </c>
      <c r="E95">
        <f>VLOOKUP(A95,Faculty_Workload!A:P,5,FALSE)</f>
        <v>4</v>
      </c>
      <c r="F95">
        <f>VLOOKUP(A95,Faculty_Workload!A:P,6,FALSE)</f>
        <v>2</v>
      </c>
      <c r="G95">
        <f>VLOOKUP(A95,Faculty_Workload!A:P,7,FALSE)</f>
        <v>9</v>
      </c>
      <c r="H95">
        <f>VLOOKUP(A95,Faculty_Workload!A:P,8,FALSE)</f>
        <v>1</v>
      </c>
      <c r="I95">
        <f>VLOOKUP(A95,Faculty_Workload!A:P,9,FALSE)</f>
        <v>10</v>
      </c>
      <c r="J95">
        <f>VLOOKUP(A95,Faculty_Workload!A:P,10,FALSE)</f>
        <v>18</v>
      </c>
      <c r="K95" t="str">
        <f t="shared" si="1"/>
        <v>Underworked</v>
      </c>
      <c r="L95" t="str">
        <f>VLOOKUP(A95,Faculty_Workload!A:P,12,FALSE)</f>
        <v>Time Table Committee</v>
      </c>
      <c r="N95" t="str">
        <f>VLOOKUP(A95,Faculty_Workload!A:P,14,FALSE)</f>
        <v>Even</v>
      </c>
      <c r="O95" t="str">
        <f>VLOOKUP(A95,Faculty_Workload!A:P,15,FALSE)</f>
        <v>2023-24</v>
      </c>
    </row>
    <row r="96" spans="1:15" x14ac:dyDescent="0.3">
      <c r="A96" t="str">
        <f>VLOOKUP(Faculty_Workload!A96,Faculty_Workload!A:P,1,FALSE)</f>
        <v>FAC1095</v>
      </c>
      <c r="B96" t="str">
        <f>VLOOKUP(A96,Faculty_Workload!A:P,2,FALSE)</f>
        <v>Pooja Yadav</v>
      </c>
      <c r="C96" t="str">
        <f>IF(COUNTBLANK(Faculty_Workload!C96)=0,Faculty_Workload!C96,"Unknown")</f>
        <v>ECE</v>
      </c>
      <c r="D96" t="str">
        <f>VLOOKUP(A96,Faculty_Workload!A:P,4,FALSE)</f>
        <v>Lecturer</v>
      </c>
      <c r="E96">
        <f>VLOOKUP(A96,Faculty_Workload!A:P,5,FALSE)</f>
        <v>26</v>
      </c>
      <c r="F96">
        <f>VLOOKUP(A96,Faculty_Workload!A:P,6,FALSE)</f>
        <v>3</v>
      </c>
      <c r="G96">
        <f>VLOOKUP(A96,Faculty_Workload!A:P,7,FALSE)</f>
        <v>14</v>
      </c>
      <c r="H96">
        <f>VLOOKUP(A96,Faculty_Workload!A:P,8,FALSE)</f>
        <v>0</v>
      </c>
      <c r="I96">
        <f>VLOOKUP(A96,Faculty_Workload!A:P,9,FALSE)</f>
        <v>14</v>
      </c>
      <c r="J96">
        <f>VLOOKUP(A96,Faculty_Workload!A:P,10,FALSE)</f>
        <v>20</v>
      </c>
      <c r="K96" t="str">
        <f t="shared" si="1"/>
        <v>Underworked</v>
      </c>
      <c r="L96" t="str">
        <f>VLOOKUP(A96,Faculty_Workload!A:P,12,FALSE)</f>
        <v>None</v>
      </c>
      <c r="N96" t="str">
        <f>VLOOKUP(A96,Faculty_Workload!A:P,14,FALSE)</f>
        <v>Even</v>
      </c>
      <c r="O96" t="str">
        <f>VLOOKUP(A96,Faculty_Workload!A:P,15,FALSE)</f>
        <v>2023-24</v>
      </c>
    </row>
    <row r="97" spans="1:15" x14ac:dyDescent="0.3">
      <c r="A97" t="str">
        <f>VLOOKUP(Faculty_Workload!A97,Faculty_Workload!A:P,1,FALSE)</f>
        <v>FAC1096</v>
      </c>
      <c r="B97" t="str">
        <f>VLOOKUP(A97,Faculty_Workload!A:P,2,FALSE)</f>
        <v>Prakash Yadav</v>
      </c>
      <c r="C97" t="str">
        <f>IF(COUNTBLANK(Faculty_Workload!C97)=0,Faculty_Workload!C97,"Unknown")</f>
        <v>ME</v>
      </c>
      <c r="D97" t="str">
        <f>VLOOKUP(A97,Faculty_Workload!A:P,4,FALSE)</f>
        <v>Senior Lecturer</v>
      </c>
      <c r="E97">
        <f>VLOOKUP(A97,Faculty_Workload!A:P,5,FALSE)</f>
        <v>5</v>
      </c>
      <c r="F97">
        <f>VLOOKUP(A97,Faculty_Workload!A:P,6,FALSE)</f>
        <v>3</v>
      </c>
      <c r="G97">
        <f>VLOOKUP(A97,Faculty_Workload!A:P,7,FALSE)</f>
        <v>12</v>
      </c>
      <c r="H97">
        <f>VLOOKUP(A97,Faculty_Workload!A:P,8,FALSE)</f>
        <v>2</v>
      </c>
      <c r="I97">
        <f>VLOOKUP(A97,Faculty_Workload!A:P,9,FALSE)</f>
        <v>14</v>
      </c>
      <c r="J97">
        <f>VLOOKUP(A97,Faculty_Workload!A:P,10,FALSE)</f>
        <v>20</v>
      </c>
      <c r="K97" t="str">
        <f t="shared" si="1"/>
        <v>Underworked</v>
      </c>
      <c r="L97" t="str">
        <f>VLOOKUP(A97,Faculty_Workload!A:P,12,FALSE)</f>
        <v>None</v>
      </c>
      <c r="N97" t="str">
        <f>VLOOKUP(A97,Faculty_Workload!A:P,14,FALSE)</f>
        <v>Odd</v>
      </c>
      <c r="O97" t="str">
        <f>VLOOKUP(A97,Faculty_Workload!A:P,15,FALSE)</f>
        <v>2023-24</v>
      </c>
    </row>
    <row r="98" spans="1:15" x14ac:dyDescent="0.3">
      <c r="A98" t="str">
        <f>VLOOKUP(Faculty_Workload!A98,Faculty_Workload!A:P,1,FALSE)</f>
        <v>FAC1097</v>
      </c>
      <c r="B98" t="str">
        <f>VLOOKUP(A98,Faculty_Workload!A:P,2,FALSE)</f>
        <v>Nisha Kumar</v>
      </c>
      <c r="C98" t="str">
        <f>IF(COUNTBLANK(Faculty_Workload!C98)=0,Faculty_Workload!C98,"Unknown")</f>
        <v>MBA</v>
      </c>
      <c r="D98" t="str">
        <f>VLOOKUP(A98,Faculty_Workload!A:P,4,FALSE)</f>
        <v>Assistant Professor</v>
      </c>
      <c r="E98">
        <f>VLOOKUP(A98,Faculty_Workload!A:P,5,FALSE)</f>
        <v>9</v>
      </c>
      <c r="F98">
        <f>VLOOKUP(A98,Faculty_Workload!A:P,6,FALSE)</f>
        <v>2</v>
      </c>
      <c r="G98">
        <f>VLOOKUP(A98,Faculty_Workload!A:P,7,FALSE)</f>
        <v>18</v>
      </c>
      <c r="H98">
        <f>VLOOKUP(A98,Faculty_Workload!A:P,8,FALSE)</f>
        <v>3</v>
      </c>
      <c r="I98">
        <f>VLOOKUP(A98,Faculty_Workload!A:P,9,FALSE)</f>
        <v>21</v>
      </c>
      <c r="J98">
        <f>VLOOKUP(A98,Faculty_Workload!A:P,10,FALSE)</f>
        <v>20</v>
      </c>
      <c r="K98" t="str">
        <f t="shared" si="1"/>
        <v>Overworked</v>
      </c>
      <c r="L98" t="str">
        <f>VLOOKUP(A98,Faculty_Workload!A:P,12,FALSE)</f>
        <v>Research Cell</v>
      </c>
      <c r="N98" t="str">
        <f>VLOOKUP(A98,Faculty_Workload!A:P,14,FALSE)</f>
        <v>Odd</v>
      </c>
      <c r="O98" t="str">
        <f>VLOOKUP(A98,Faculty_Workload!A:P,15,FALSE)</f>
        <v>2024-25</v>
      </c>
    </row>
    <row r="99" spans="1:15" x14ac:dyDescent="0.3">
      <c r="A99" t="str">
        <f>VLOOKUP(Faculty_Workload!A99,Faculty_Workload!A:P,1,FALSE)</f>
        <v>FAC1098</v>
      </c>
      <c r="B99" t="str">
        <f>VLOOKUP(A99,Faculty_Workload!A:P,2,FALSE)</f>
        <v>Kavya Sharma</v>
      </c>
      <c r="C99" t="str">
        <f>IF(COUNTBLANK(Faculty_Workload!C99)=0,Faculty_Workload!C99,"Unknown")</f>
        <v>MCA</v>
      </c>
      <c r="D99" t="str">
        <f>VLOOKUP(A99,Faculty_Workload!A:P,4,FALSE)</f>
        <v>Professor</v>
      </c>
      <c r="E99">
        <f>VLOOKUP(A99,Faculty_Workload!A:P,5,FALSE)</f>
        <v>13</v>
      </c>
      <c r="F99">
        <f>VLOOKUP(A99,Faculty_Workload!A:P,6,FALSE)</f>
        <v>3</v>
      </c>
      <c r="G99">
        <f>VLOOKUP(A99,Faculty_Workload!A:P,7,FALSE)</f>
        <v>15</v>
      </c>
      <c r="H99">
        <f>VLOOKUP(A99,Faculty_Workload!A:P,8,FALSE)</f>
        <v>2</v>
      </c>
      <c r="I99">
        <f>VLOOKUP(A99,Faculty_Workload!A:P,9,FALSE)</f>
        <v>17</v>
      </c>
      <c r="J99">
        <f>VLOOKUP(A99,Faculty_Workload!A:P,10,FALSE)</f>
        <v>18</v>
      </c>
      <c r="K99" t="str">
        <f t="shared" si="1"/>
        <v>Underworked</v>
      </c>
      <c r="L99" t="str">
        <f>VLOOKUP(A99,Faculty_Workload!A:P,12,FALSE)</f>
        <v>None</v>
      </c>
      <c r="N99" t="str">
        <f>VLOOKUP(A99,Faculty_Workload!A:P,14,FALSE)</f>
        <v>Odd</v>
      </c>
      <c r="O99" t="str">
        <f>VLOOKUP(A99,Faculty_Workload!A:P,15,FALSE)</f>
        <v>2024-25</v>
      </c>
    </row>
    <row r="100" spans="1:15" x14ac:dyDescent="0.3">
      <c r="A100" t="str">
        <f>VLOOKUP(Faculty_Workload!A100,Faculty_Workload!A:P,1,FALSE)</f>
        <v>FAC1099</v>
      </c>
      <c r="B100" t="str">
        <f>VLOOKUP(A100,Faculty_Workload!A:P,2,FALSE)</f>
        <v>Geeta Patel</v>
      </c>
      <c r="C100" t="str">
        <f>IF(COUNTBLANK(Faculty_Workload!C100)=0,Faculty_Workload!C100,"Unknown")</f>
        <v>ME</v>
      </c>
      <c r="D100" t="str">
        <f>VLOOKUP(A100,Faculty_Workload!A:P,4,FALSE)</f>
        <v>Senior Lecturer</v>
      </c>
      <c r="E100">
        <f>VLOOKUP(A100,Faculty_Workload!A:P,5,FALSE)</f>
        <v>10</v>
      </c>
      <c r="F100">
        <f>VLOOKUP(A100,Faculty_Workload!A:P,6,FALSE)</f>
        <v>4</v>
      </c>
      <c r="G100">
        <f>VLOOKUP(A100,Faculty_Workload!A:P,7,FALSE)</f>
        <v>17</v>
      </c>
      <c r="H100">
        <f>VLOOKUP(A100,Faculty_Workload!A:P,8,FALSE)</f>
        <v>6</v>
      </c>
      <c r="I100">
        <f>VLOOKUP(A100,Faculty_Workload!A:P,9,FALSE)</f>
        <v>23</v>
      </c>
      <c r="J100">
        <f>VLOOKUP(A100,Faculty_Workload!A:P,10,FALSE)</f>
        <v>20</v>
      </c>
      <c r="K100" t="str">
        <f t="shared" si="1"/>
        <v>Overworked</v>
      </c>
      <c r="L100" t="str">
        <f>VLOOKUP(A100,Faculty_Workload!A:P,12,FALSE)</f>
        <v>Sports Cell</v>
      </c>
      <c r="N100" t="str">
        <f>VLOOKUP(A100,Faculty_Workload!A:P,14,FALSE)</f>
        <v>Even</v>
      </c>
      <c r="O100" t="str">
        <f>VLOOKUP(A100,Faculty_Workload!A:P,15,FALSE)</f>
        <v>2024-25</v>
      </c>
    </row>
    <row r="101" spans="1:15" x14ac:dyDescent="0.3">
      <c r="A101" t="str">
        <f>VLOOKUP(Faculty_Workload!A101,Faculty_Workload!A:P,1,FALSE)</f>
        <v>FAC1100</v>
      </c>
      <c r="B101" t="str">
        <f>VLOOKUP(A101,Faculty_Workload!A:P,2,FALSE)</f>
        <v>Pooja Verma</v>
      </c>
      <c r="C101" t="str">
        <f>IF(COUNTBLANK(Faculty_Workload!C101)=0,Faculty_Workload!C101,"Unknown")</f>
        <v>CE</v>
      </c>
      <c r="D101" t="str">
        <f>VLOOKUP(A101,Faculty_Workload!A:P,4,FALSE)</f>
        <v>Lecturer</v>
      </c>
      <c r="E101">
        <f>VLOOKUP(A101,Faculty_Workload!A:P,5,FALSE)</f>
        <v>6</v>
      </c>
      <c r="F101">
        <f>VLOOKUP(A101,Faculty_Workload!A:P,6,FALSE)</f>
        <v>1</v>
      </c>
      <c r="G101">
        <f>VLOOKUP(A101,Faculty_Workload!A:P,7,FALSE)</f>
        <v>15</v>
      </c>
      <c r="H101">
        <f>VLOOKUP(A101,Faculty_Workload!A:P,8,FALSE)</f>
        <v>5</v>
      </c>
      <c r="I101">
        <f>VLOOKUP(A101,Faculty_Workload!A:P,9,FALSE)</f>
        <v>20</v>
      </c>
      <c r="J101">
        <f>VLOOKUP(A101,Faculty_Workload!A:P,10,FALSE)</f>
        <v>20</v>
      </c>
      <c r="K101" t="str">
        <f t="shared" si="1"/>
        <v>Normal</v>
      </c>
      <c r="L101" t="str">
        <f>VLOOKUP(A101,Faculty_Workload!A:P,12,FALSE)</f>
        <v>Sports Cell</v>
      </c>
      <c r="N101" t="str">
        <f>VLOOKUP(A101,Faculty_Workload!A:P,14,FALSE)</f>
        <v>Even</v>
      </c>
      <c r="O101" t="str">
        <f>VLOOKUP(A101,Faculty_Workload!A:P,15,FALSE)</f>
        <v>2025-26</v>
      </c>
    </row>
  </sheetData>
  <conditionalFormatting sqref="C1:C1048576">
    <cfRule type="cellIs" dxfId="2" priority="3" operator="equal">
      <formula>"Unknown"</formula>
    </cfRule>
  </conditionalFormatting>
  <conditionalFormatting sqref="K1:K1048576">
    <cfRule type="cellIs" dxfId="1" priority="1" operator="equal">
      <formula>"Underworked"</formula>
    </cfRule>
    <cfRule type="cellIs" dxfId="0" priority="2" operator="equal">
      <formula>"Overworked"</formula>
    </cfRule>
  </conditionalFormatting>
  <dataValidations count="1">
    <dataValidation type="list" allowBlank="1" showInputMessage="1" showErrorMessage="1" sqref="S3" xr:uid="{D0062737-660F-43B1-AB1C-379AAC2D9249}">
      <formula1>"MBA, CE, ME, IT, EEE, CSE, ECE, MCA"</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1" r:id="rId3" name="Button 5">
              <controlPr defaultSize="0" print="0" autoFill="0" autoPict="0" macro="[0]!Overload_Flag">
                <anchor moveWithCells="1" sizeWithCells="1">
                  <from>
                    <xdr:col>18</xdr:col>
                    <xdr:colOff>83820</xdr:colOff>
                    <xdr:row>7</xdr:row>
                    <xdr:rowOff>68580</xdr:rowOff>
                  </from>
                  <to>
                    <xdr:col>20</xdr:col>
                    <xdr:colOff>480060</xdr:colOff>
                    <xdr:row>12</xdr:row>
                    <xdr:rowOff>68580</xdr:rowOff>
                  </to>
                </anchor>
              </controlPr>
            </control>
          </mc:Choice>
        </mc:AlternateContent>
        <mc:AlternateContent xmlns:mc="http://schemas.openxmlformats.org/markup-compatibility/2006">
          <mc:Choice Requires="x14">
            <control shapeId="4102" r:id="rId4" name="Button 6">
              <controlPr defaultSize="0" print="0" autoFill="0" autoPict="0" macro="[0]!Remarks">
                <anchor moveWithCells="1" sizeWithCells="1">
                  <from>
                    <xdr:col>18</xdr:col>
                    <xdr:colOff>106680</xdr:colOff>
                    <xdr:row>15</xdr:row>
                    <xdr:rowOff>76200</xdr:rowOff>
                  </from>
                  <to>
                    <xdr:col>20</xdr:col>
                    <xdr:colOff>502920</xdr:colOff>
                    <xdr:row>20</xdr:row>
                    <xdr:rowOff>106680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BEE4E-218B-4E30-953B-1CC69E375232}">
  <sheetPr codeName="Sheet5"/>
  <dimension ref="A1:J41"/>
  <sheetViews>
    <sheetView workbookViewId="0">
      <selection activeCell="N4" sqref="N4"/>
    </sheetView>
  </sheetViews>
  <sheetFormatPr defaultRowHeight="14.4" x14ac:dyDescent="0.3"/>
  <cols>
    <col min="1" max="1" width="21.77734375" bestFit="1" customWidth="1"/>
    <col min="2" max="2" width="19.33203125" bestFit="1" customWidth="1"/>
    <col min="3" max="3" width="4" bestFit="1" customWidth="1"/>
    <col min="4" max="4" width="7" bestFit="1" customWidth="1"/>
    <col min="5" max="5" width="10.77734375" bestFit="1" customWidth="1"/>
  </cols>
  <sheetData>
    <row r="1" spans="1:10" x14ac:dyDescent="0.3">
      <c r="A1" s="12" t="s">
        <v>3</v>
      </c>
      <c r="B1" t="s">
        <v>476</v>
      </c>
    </row>
    <row r="2" spans="1:10" x14ac:dyDescent="0.3">
      <c r="F2" s="37" t="s">
        <v>499</v>
      </c>
      <c r="G2" s="37"/>
      <c r="H2" s="37"/>
      <c r="I2" s="37"/>
      <c r="J2" s="37"/>
    </row>
    <row r="3" spans="1:10" x14ac:dyDescent="0.3">
      <c r="A3" s="12" t="s">
        <v>472</v>
      </c>
      <c r="B3" t="s">
        <v>475</v>
      </c>
      <c r="F3" s="37"/>
      <c r="G3" s="37"/>
      <c r="H3" s="37"/>
      <c r="I3" s="37"/>
      <c r="J3" s="37"/>
    </row>
    <row r="4" spans="1:10" x14ac:dyDescent="0.3">
      <c r="A4" s="13" t="s">
        <v>90</v>
      </c>
      <c r="B4">
        <v>7</v>
      </c>
    </row>
    <row r="5" spans="1:10" x14ac:dyDescent="0.3">
      <c r="A5" s="13" t="s">
        <v>17</v>
      </c>
      <c r="B5">
        <v>3</v>
      </c>
    </row>
    <row r="6" spans="1:10" x14ac:dyDescent="0.3">
      <c r="A6" s="13" t="s">
        <v>194</v>
      </c>
      <c r="B6">
        <v>1</v>
      </c>
    </row>
    <row r="7" spans="1:10" x14ac:dyDescent="0.3">
      <c r="A7" s="13" t="s">
        <v>140</v>
      </c>
      <c r="B7">
        <v>1</v>
      </c>
    </row>
    <row r="8" spans="1:10" x14ac:dyDescent="0.3">
      <c r="A8" s="13" t="s">
        <v>34</v>
      </c>
      <c r="B8">
        <v>3</v>
      </c>
    </row>
    <row r="9" spans="1:10" x14ac:dyDescent="0.3">
      <c r="A9" s="13" t="s">
        <v>135</v>
      </c>
      <c r="B9">
        <v>5</v>
      </c>
    </row>
    <row r="10" spans="1:10" x14ac:dyDescent="0.3">
      <c r="A10" s="13" t="s">
        <v>64</v>
      </c>
      <c r="B10">
        <v>7</v>
      </c>
    </row>
    <row r="11" spans="1:10" x14ac:dyDescent="0.3">
      <c r="A11" s="13" t="s">
        <v>72</v>
      </c>
      <c r="B11">
        <v>3</v>
      </c>
    </row>
    <row r="12" spans="1:10" x14ac:dyDescent="0.3">
      <c r="A12" s="13" t="s">
        <v>191</v>
      </c>
      <c r="B12">
        <v>4</v>
      </c>
    </row>
    <row r="13" spans="1:10" x14ac:dyDescent="0.3">
      <c r="A13" s="13" t="s">
        <v>209</v>
      </c>
      <c r="B13">
        <v>3</v>
      </c>
    </row>
    <row r="14" spans="1:10" x14ac:dyDescent="0.3">
      <c r="A14" s="13" t="s">
        <v>221</v>
      </c>
      <c r="B14">
        <v>4</v>
      </c>
    </row>
    <row r="15" spans="1:10" x14ac:dyDescent="0.3">
      <c r="A15" s="13" t="s">
        <v>115</v>
      </c>
      <c r="B15">
        <v>12</v>
      </c>
    </row>
    <row r="16" spans="1:10" x14ac:dyDescent="0.3">
      <c r="A16" s="13" t="s">
        <v>98</v>
      </c>
      <c r="B16">
        <v>5</v>
      </c>
    </row>
    <row r="17" spans="1:2" x14ac:dyDescent="0.3">
      <c r="A17" s="13" t="s">
        <v>40</v>
      </c>
      <c r="B17">
        <v>6</v>
      </c>
    </row>
    <row r="18" spans="1:2" x14ac:dyDescent="0.3">
      <c r="A18" s="13" t="s">
        <v>51</v>
      </c>
      <c r="B18">
        <v>10</v>
      </c>
    </row>
    <row r="19" spans="1:2" x14ac:dyDescent="0.3">
      <c r="A19" s="13" t="s">
        <v>26</v>
      </c>
      <c r="B19">
        <v>4</v>
      </c>
    </row>
    <row r="20" spans="1:2" x14ac:dyDescent="0.3">
      <c r="A20" s="13" t="s">
        <v>84</v>
      </c>
      <c r="B20">
        <v>2</v>
      </c>
    </row>
    <row r="21" spans="1:2" x14ac:dyDescent="0.3">
      <c r="A21" s="13" t="s">
        <v>68</v>
      </c>
      <c r="B21">
        <v>4</v>
      </c>
    </row>
    <row r="22" spans="1:2" x14ac:dyDescent="0.3">
      <c r="A22" s="13" t="s">
        <v>112</v>
      </c>
      <c r="B22">
        <v>10</v>
      </c>
    </row>
    <row r="23" spans="1:2" x14ac:dyDescent="0.3">
      <c r="A23" s="13" t="s">
        <v>80</v>
      </c>
      <c r="B23">
        <v>2</v>
      </c>
    </row>
    <row r="24" spans="1:2" x14ac:dyDescent="0.3">
      <c r="A24" s="13" t="s">
        <v>151</v>
      </c>
      <c r="B24">
        <v>5</v>
      </c>
    </row>
    <row r="25" spans="1:2" x14ac:dyDescent="0.3">
      <c r="A25" s="13" t="s">
        <v>55</v>
      </c>
      <c r="B25">
        <v>3</v>
      </c>
    </row>
    <row r="26" spans="1:2" x14ac:dyDescent="0.3">
      <c r="A26" s="13" t="s">
        <v>255</v>
      </c>
      <c r="B26">
        <v>2</v>
      </c>
    </row>
    <row r="27" spans="1:2" x14ac:dyDescent="0.3">
      <c r="A27" s="13" t="s">
        <v>46</v>
      </c>
      <c r="B27">
        <v>3</v>
      </c>
    </row>
    <row r="28" spans="1:2" x14ac:dyDescent="0.3">
      <c r="A28" s="13" t="s">
        <v>104</v>
      </c>
      <c r="B28">
        <v>2</v>
      </c>
    </row>
    <row r="29" spans="1:2" x14ac:dyDescent="0.3">
      <c r="A29" s="13" t="s">
        <v>271</v>
      </c>
      <c r="B29">
        <v>1</v>
      </c>
    </row>
    <row r="30" spans="1:2" x14ac:dyDescent="0.3">
      <c r="A30" s="13" t="s">
        <v>121</v>
      </c>
      <c r="B30">
        <v>2</v>
      </c>
    </row>
    <row r="31" spans="1:2" x14ac:dyDescent="0.3">
      <c r="A31" s="13" t="s">
        <v>101</v>
      </c>
      <c r="B31">
        <v>2</v>
      </c>
    </row>
    <row r="32" spans="1:2" x14ac:dyDescent="0.3">
      <c r="A32" s="13" t="s">
        <v>147</v>
      </c>
      <c r="B32">
        <v>3</v>
      </c>
    </row>
    <row r="33" spans="1:2" x14ac:dyDescent="0.3">
      <c r="A33" s="13" t="s">
        <v>107</v>
      </c>
      <c r="B33">
        <v>8</v>
      </c>
    </row>
    <row r="34" spans="1:2" x14ac:dyDescent="0.3">
      <c r="A34" s="13" t="s">
        <v>162</v>
      </c>
      <c r="B34">
        <v>6</v>
      </c>
    </row>
    <row r="35" spans="1:2" x14ac:dyDescent="0.3">
      <c r="A35" s="13" t="s">
        <v>174</v>
      </c>
      <c r="B35">
        <v>4</v>
      </c>
    </row>
    <row r="36" spans="1:2" x14ac:dyDescent="0.3">
      <c r="A36" s="13" t="s">
        <v>177</v>
      </c>
      <c r="B36">
        <v>2</v>
      </c>
    </row>
    <row r="37" spans="1:2" x14ac:dyDescent="0.3">
      <c r="A37" s="13" t="s">
        <v>60</v>
      </c>
      <c r="B37">
        <v>8</v>
      </c>
    </row>
    <row r="38" spans="1:2" x14ac:dyDescent="0.3">
      <c r="A38" s="13" t="s">
        <v>157</v>
      </c>
      <c r="B38">
        <v>5</v>
      </c>
    </row>
    <row r="39" spans="1:2" x14ac:dyDescent="0.3">
      <c r="A39" s="13" t="s">
        <v>258</v>
      </c>
      <c r="B39">
        <v>5</v>
      </c>
    </row>
    <row r="40" spans="1:2" x14ac:dyDescent="0.3">
      <c r="A40" s="13" t="s">
        <v>473</v>
      </c>
    </row>
    <row r="41" spans="1:2" x14ac:dyDescent="0.3">
      <c r="A41" s="13" t="s">
        <v>474</v>
      </c>
      <c r="B41">
        <v>157</v>
      </c>
    </row>
  </sheetData>
  <mergeCells count="1">
    <mergeCell ref="F2:J3"/>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44465-635C-45C6-8691-3992146FEB71}">
  <dimension ref="A1:I18"/>
  <sheetViews>
    <sheetView workbookViewId="0">
      <selection activeCell="U14" sqref="U14"/>
    </sheetView>
  </sheetViews>
  <sheetFormatPr defaultRowHeight="14.4" x14ac:dyDescent="0.3"/>
  <cols>
    <col min="1" max="1" width="15.33203125" bestFit="1" customWidth="1"/>
    <col min="2" max="2" width="24.33203125" bestFit="1" customWidth="1"/>
  </cols>
  <sheetData>
    <row r="1" spans="1:9" x14ac:dyDescent="0.3">
      <c r="A1" s="12" t="s">
        <v>3</v>
      </c>
      <c r="B1" t="s">
        <v>476</v>
      </c>
    </row>
    <row r="2" spans="1:9" x14ac:dyDescent="0.3">
      <c r="E2" s="38" t="s">
        <v>500</v>
      </c>
      <c r="F2" s="38"/>
      <c r="G2" s="38"/>
      <c r="H2" s="38"/>
      <c r="I2" s="38"/>
    </row>
    <row r="3" spans="1:9" x14ac:dyDescent="0.3">
      <c r="A3" s="12" t="s">
        <v>472</v>
      </c>
      <c r="B3" t="s">
        <v>477</v>
      </c>
      <c r="E3" s="38"/>
      <c r="F3" s="38"/>
      <c r="G3" s="38"/>
      <c r="H3" s="38"/>
      <c r="I3" s="38"/>
    </row>
    <row r="4" spans="1:9" x14ac:dyDescent="0.3">
      <c r="A4" s="13" t="s">
        <v>392</v>
      </c>
      <c r="B4" s="41">
        <v>12</v>
      </c>
      <c r="E4" s="38"/>
      <c r="F4" s="38"/>
      <c r="G4" s="38"/>
      <c r="H4" s="38"/>
      <c r="I4" s="38"/>
    </row>
    <row r="5" spans="1:9" x14ac:dyDescent="0.3">
      <c r="A5" s="13" t="s">
        <v>388</v>
      </c>
      <c r="B5" s="41">
        <v>19</v>
      </c>
    </row>
    <row r="6" spans="1:9" x14ac:dyDescent="0.3">
      <c r="A6" s="13" t="s">
        <v>369</v>
      </c>
      <c r="B6" s="41">
        <v>31</v>
      </c>
    </row>
    <row r="7" spans="1:9" x14ac:dyDescent="0.3">
      <c r="A7" s="13" t="s">
        <v>414</v>
      </c>
      <c r="B7" s="41">
        <v>19</v>
      </c>
    </row>
    <row r="8" spans="1:9" x14ac:dyDescent="0.3">
      <c r="A8" s="13" t="s">
        <v>371</v>
      </c>
      <c r="B8" s="41">
        <v>14</v>
      </c>
    </row>
    <row r="9" spans="1:9" x14ac:dyDescent="0.3">
      <c r="A9" s="13" t="s">
        <v>424</v>
      </c>
      <c r="B9" s="41">
        <v>9</v>
      </c>
    </row>
    <row r="10" spans="1:9" x14ac:dyDescent="0.3">
      <c r="A10" s="13" t="s">
        <v>434</v>
      </c>
      <c r="B10" s="41">
        <v>17</v>
      </c>
    </row>
    <row r="11" spans="1:9" x14ac:dyDescent="0.3">
      <c r="A11" s="13" t="s">
        <v>381</v>
      </c>
      <c r="B11" s="41">
        <v>10</v>
      </c>
    </row>
    <row r="12" spans="1:9" x14ac:dyDescent="0.3">
      <c r="A12" s="13" t="s">
        <v>338</v>
      </c>
      <c r="B12" s="41">
        <v>16</v>
      </c>
    </row>
    <row r="13" spans="1:9" x14ac:dyDescent="0.3">
      <c r="A13" s="13" t="s">
        <v>422</v>
      </c>
      <c r="B13" s="41">
        <v>14</v>
      </c>
    </row>
    <row r="14" spans="1:9" x14ac:dyDescent="0.3">
      <c r="A14" s="13" t="s">
        <v>390</v>
      </c>
      <c r="B14" s="41">
        <v>16</v>
      </c>
    </row>
    <row r="15" spans="1:9" x14ac:dyDescent="0.3">
      <c r="A15" s="13" t="s">
        <v>340</v>
      </c>
      <c r="B15" s="41">
        <v>11</v>
      </c>
    </row>
    <row r="16" spans="1:9" x14ac:dyDescent="0.3">
      <c r="A16" s="13" t="s">
        <v>377</v>
      </c>
      <c r="B16" s="41">
        <v>15</v>
      </c>
    </row>
    <row r="17" spans="1:2" x14ac:dyDescent="0.3">
      <c r="A17" s="13" t="s">
        <v>354</v>
      </c>
      <c r="B17" s="41">
        <v>15</v>
      </c>
    </row>
    <row r="18" spans="1:2" x14ac:dyDescent="0.3">
      <c r="A18" s="13" t="s">
        <v>474</v>
      </c>
      <c r="B18" s="41">
        <v>218</v>
      </c>
    </row>
  </sheetData>
  <mergeCells count="1">
    <mergeCell ref="E2:I4"/>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58D32-2241-46E3-82AB-942E9022E0FC}">
  <dimension ref="A1:W67"/>
  <sheetViews>
    <sheetView showGridLines="0" zoomScale="39" workbookViewId="0">
      <selection activeCell="AJ36" sqref="AJ36"/>
    </sheetView>
  </sheetViews>
  <sheetFormatPr defaultRowHeight="14.4" x14ac:dyDescent="0.3"/>
  <sheetData>
    <row r="1" spans="1:23" x14ac:dyDescent="0.3">
      <c r="A1" s="21" t="s">
        <v>478</v>
      </c>
      <c r="B1" s="21"/>
      <c r="C1" s="21"/>
      <c r="D1" s="21"/>
      <c r="E1" s="21"/>
      <c r="F1" s="21"/>
      <c r="G1" s="21"/>
      <c r="H1" s="21"/>
      <c r="I1" s="21"/>
      <c r="J1" s="21"/>
      <c r="K1" s="21"/>
      <c r="L1" s="21"/>
      <c r="M1" s="21"/>
      <c r="N1" s="21"/>
      <c r="O1" s="21"/>
      <c r="P1" s="21"/>
      <c r="Q1" s="21"/>
      <c r="R1" s="21"/>
      <c r="S1" s="21"/>
      <c r="T1" s="21"/>
      <c r="U1" s="21"/>
      <c r="V1" s="21"/>
      <c r="W1" s="21"/>
    </row>
    <row r="2" spans="1:23" x14ac:dyDescent="0.3">
      <c r="A2" s="21"/>
      <c r="B2" s="21"/>
      <c r="C2" s="21"/>
      <c r="D2" s="21"/>
      <c r="E2" s="21"/>
      <c r="F2" s="21"/>
      <c r="G2" s="21"/>
      <c r="H2" s="21"/>
      <c r="I2" s="21"/>
      <c r="J2" s="21"/>
      <c r="K2" s="21"/>
      <c r="L2" s="21"/>
      <c r="M2" s="21"/>
      <c r="N2" s="21"/>
      <c r="O2" s="21"/>
      <c r="P2" s="21"/>
      <c r="Q2" s="21"/>
      <c r="R2" s="21"/>
      <c r="S2" s="21"/>
      <c r="T2" s="21"/>
      <c r="U2" s="21"/>
      <c r="V2" s="21"/>
      <c r="W2" s="21"/>
    </row>
    <row r="3" spans="1:23" x14ac:dyDescent="0.3">
      <c r="A3" s="21"/>
      <c r="B3" s="21"/>
      <c r="C3" s="21"/>
      <c r="D3" s="21"/>
      <c r="E3" s="21"/>
      <c r="F3" s="21"/>
      <c r="G3" s="21"/>
      <c r="H3" s="21"/>
      <c r="I3" s="21"/>
      <c r="J3" s="21"/>
      <c r="K3" s="21"/>
      <c r="L3" s="21"/>
      <c r="M3" s="21"/>
      <c r="N3" s="21"/>
      <c r="O3" s="21"/>
      <c r="P3" s="21"/>
      <c r="Q3" s="21"/>
      <c r="R3" s="21"/>
      <c r="S3" s="21"/>
      <c r="T3" s="21"/>
      <c r="U3" s="21"/>
      <c r="V3" s="21"/>
      <c r="W3" s="21"/>
    </row>
    <row r="4" spans="1:23" x14ac:dyDescent="0.3">
      <c r="A4" s="21"/>
      <c r="B4" s="21"/>
      <c r="C4" s="21"/>
      <c r="D4" s="21"/>
      <c r="E4" s="21"/>
      <c r="F4" s="21"/>
      <c r="G4" s="21"/>
      <c r="H4" s="21"/>
      <c r="I4" s="21"/>
      <c r="J4" s="21"/>
      <c r="K4" s="21"/>
      <c r="L4" s="21"/>
      <c r="M4" s="21"/>
      <c r="N4" s="21"/>
      <c r="O4" s="21"/>
      <c r="P4" s="21"/>
      <c r="Q4" s="21"/>
      <c r="R4" s="21"/>
      <c r="S4" s="21"/>
      <c r="T4" s="21"/>
      <c r="U4" s="21"/>
      <c r="V4" s="21"/>
      <c r="W4" s="21"/>
    </row>
    <row r="5" spans="1:23" x14ac:dyDescent="0.3">
      <c r="A5" s="21"/>
      <c r="B5" s="21"/>
      <c r="C5" s="21"/>
      <c r="D5" s="21"/>
      <c r="E5" s="21"/>
      <c r="F5" s="21"/>
      <c r="G5" s="21"/>
      <c r="H5" s="21"/>
      <c r="I5" s="21"/>
      <c r="J5" s="21"/>
      <c r="K5" s="21"/>
      <c r="L5" s="21"/>
      <c r="M5" s="21"/>
      <c r="N5" s="21"/>
      <c r="O5" s="21"/>
      <c r="P5" s="21"/>
      <c r="Q5" s="21"/>
      <c r="R5" s="21"/>
      <c r="S5" s="21"/>
      <c r="T5" s="21"/>
      <c r="U5" s="21"/>
      <c r="V5" s="21"/>
      <c r="W5" s="21"/>
    </row>
    <row r="6" spans="1:23" x14ac:dyDescent="0.3">
      <c r="A6" s="21"/>
      <c r="B6" s="21"/>
      <c r="C6" s="21"/>
      <c r="D6" s="21"/>
      <c r="E6" s="21"/>
      <c r="F6" s="21"/>
      <c r="G6" s="21"/>
      <c r="H6" s="21"/>
      <c r="I6" s="21"/>
      <c r="J6" s="21"/>
      <c r="K6" s="21"/>
      <c r="L6" s="21"/>
      <c r="M6" s="21"/>
      <c r="N6" s="21"/>
      <c r="O6" s="21"/>
      <c r="P6" s="21"/>
      <c r="Q6" s="21"/>
      <c r="R6" s="21"/>
      <c r="S6" s="21"/>
      <c r="T6" s="21"/>
      <c r="U6" s="21"/>
      <c r="V6" s="21"/>
      <c r="W6" s="21"/>
    </row>
    <row r="9" spans="1:23" x14ac:dyDescent="0.3">
      <c r="A9" s="22"/>
      <c r="B9" s="22"/>
      <c r="C9" s="22"/>
      <c r="D9" s="22"/>
      <c r="E9" s="22"/>
      <c r="F9" s="22"/>
      <c r="G9" s="22"/>
      <c r="H9" s="22"/>
      <c r="I9" s="22"/>
      <c r="J9" s="22"/>
      <c r="K9" s="22"/>
      <c r="L9" s="22"/>
      <c r="M9" s="22"/>
      <c r="N9" s="22"/>
      <c r="O9" s="22"/>
      <c r="P9" s="22"/>
      <c r="Q9" s="22"/>
      <c r="R9" s="22"/>
      <c r="S9" s="22"/>
      <c r="T9" s="22"/>
      <c r="U9" s="22"/>
      <c r="V9" s="22"/>
      <c r="W9" s="22"/>
    </row>
    <row r="10" spans="1:23" x14ac:dyDescent="0.3">
      <c r="A10" s="22"/>
      <c r="B10" s="22"/>
      <c r="C10" s="22"/>
      <c r="D10" s="22"/>
      <c r="E10" s="22"/>
      <c r="F10" s="22"/>
      <c r="G10" s="22"/>
      <c r="H10" s="22"/>
      <c r="I10" s="22"/>
      <c r="J10" s="22"/>
      <c r="K10" s="22"/>
      <c r="L10" s="22"/>
      <c r="M10" s="22"/>
      <c r="N10" s="22"/>
      <c r="O10" s="22"/>
      <c r="P10" s="22"/>
      <c r="Q10" s="22"/>
      <c r="R10" s="22"/>
      <c r="S10" s="22"/>
      <c r="T10" s="22"/>
      <c r="U10" s="22"/>
      <c r="V10" s="22"/>
      <c r="W10" s="22"/>
    </row>
    <row r="11" spans="1:23" x14ac:dyDescent="0.3">
      <c r="A11" s="22"/>
      <c r="B11" s="22"/>
      <c r="C11" s="22"/>
      <c r="D11" s="22"/>
      <c r="E11" s="22"/>
      <c r="F11" s="22"/>
      <c r="G11" s="22"/>
      <c r="H11" s="22"/>
      <c r="I11" s="22"/>
      <c r="J11" s="22"/>
      <c r="K11" s="22"/>
      <c r="L11" s="22"/>
      <c r="M11" s="22"/>
      <c r="N11" s="22"/>
      <c r="O11" s="22"/>
      <c r="P11" s="22"/>
      <c r="Q11" s="22"/>
      <c r="R11" s="22"/>
      <c r="S11" s="22"/>
      <c r="T11" s="22"/>
      <c r="U11" s="22"/>
      <c r="V11" s="22"/>
      <c r="W11" s="22"/>
    </row>
    <row r="12" spans="1:23" x14ac:dyDescent="0.3">
      <c r="A12" s="22"/>
      <c r="B12" s="22"/>
      <c r="C12" s="22"/>
      <c r="D12" s="22"/>
      <c r="E12" s="22"/>
      <c r="F12" s="22"/>
      <c r="G12" s="22"/>
      <c r="H12" s="22"/>
      <c r="I12" s="22"/>
      <c r="J12" s="22"/>
      <c r="K12" s="22"/>
      <c r="L12" s="22"/>
      <c r="M12" s="22"/>
      <c r="N12" s="22"/>
      <c r="O12" s="22"/>
      <c r="P12" s="22"/>
      <c r="Q12" s="22"/>
      <c r="R12" s="22"/>
      <c r="S12" s="22"/>
      <c r="T12" s="22"/>
      <c r="U12" s="22"/>
      <c r="V12" s="22"/>
      <c r="W12" s="22"/>
    </row>
    <row r="13" spans="1:23" x14ac:dyDescent="0.3">
      <c r="A13" s="22"/>
      <c r="B13" s="22"/>
      <c r="C13" s="22"/>
      <c r="D13" s="22"/>
      <c r="E13" s="22"/>
      <c r="F13" s="22"/>
      <c r="G13" s="22"/>
      <c r="H13" s="22"/>
      <c r="I13" s="22"/>
      <c r="J13" s="22"/>
      <c r="K13" s="22"/>
      <c r="L13" s="22"/>
      <c r="M13" s="22"/>
      <c r="N13" s="22"/>
      <c r="O13" s="22"/>
      <c r="P13" s="22"/>
      <c r="Q13" s="22"/>
      <c r="R13" s="22"/>
      <c r="S13" s="22"/>
      <c r="T13" s="22"/>
      <c r="U13" s="22"/>
      <c r="V13" s="22"/>
      <c r="W13" s="22"/>
    </row>
    <row r="14" spans="1:23" x14ac:dyDescent="0.3">
      <c r="A14" s="22"/>
      <c r="B14" s="22"/>
      <c r="C14" s="22"/>
      <c r="D14" s="22"/>
      <c r="E14" s="22"/>
      <c r="F14" s="22"/>
      <c r="G14" s="22"/>
      <c r="H14" s="22"/>
      <c r="I14" s="22"/>
      <c r="J14" s="22"/>
      <c r="K14" s="22"/>
      <c r="L14" s="22"/>
      <c r="M14" s="22"/>
      <c r="N14" s="22"/>
      <c r="O14" s="22"/>
      <c r="P14" s="22"/>
      <c r="Q14" s="22"/>
      <c r="R14" s="22"/>
      <c r="S14" s="22"/>
      <c r="T14" s="22"/>
      <c r="U14" s="22"/>
      <c r="V14" s="22"/>
      <c r="W14" s="22"/>
    </row>
    <row r="15" spans="1:23" x14ac:dyDescent="0.3">
      <c r="A15" s="22"/>
      <c r="B15" s="22"/>
      <c r="C15" s="22"/>
      <c r="D15" s="22"/>
      <c r="E15" s="22"/>
      <c r="F15" s="22"/>
      <c r="G15" s="22"/>
      <c r="H15" s="22"/>
      <c r="I15" s="22"/>
      <c r="J15" s="22"/>
      <c r="K15" s="22"/>
      <c r="L15" s="22"/>
      <c r="M15" s="22"/>
      <c r="N15" s="22"/>
      <c r="O15" s="22"/>
      <c r="P15" s="22"/>
      <c r="Q15" s="22"/>
      <c r="R15" s="22"/>
      <c r="S15" s="22"/>
      <c r="T15" s="22"/>
      <c r="U15" s="22"/>
      <c r="V15" s="22"/>
      <c r="W15" s="22"/>
    </row>
    <row r="16" spans="1:23" x14ac:dyDescent="0.3">
      <c r="A16" s="22"/>
      <c r="B16" s="22"/>
      <c r="C16" s="22"/>
      <c r="D16" s="22"/>
      <c r="E16" s="22"/>
      <c r="F16" s="22"/>
      <c r="G16" s="22"/>
      <c r="H16" s="22"/>
      <c r="I16" s="22"/>
      <c r="J16" s="22"/>
      <c r="K16" s="22"/>
      <c r="L16" s="22"/>
      <c r="M16" s="22"/>
      <c r="N16" s="22"/>
      <c r="O16" s="22"/>
      <c r="P16" s="22"/>
      <c r="Q16" s="22"/>
      <c r="R16" s="22"/>
      <c r="S16" s="22"/>
      <c r="T16" s="22"/>
      <c r="U16" s="22"/>
      <c r="V16" s="22"/>
      <c r="W16" s="22"/>
    </row>
    <row r="17" spans="1:23" x14ac:dyDescent="0.3">
      <c r="A17" s="22"/>
      <c r="B17" s="22"/>
      <c r="C17" s="22"/>
      <c r="D17" s="22"/>
      <c r="E17" s="22"/>
      <c r="F17" s="22"/>
      <c r="G17" s="22"/>
      <c r="H17" s="22"/>
      <c r="I17" s="22"/>
      <c r="J17" s="22"/>
      <c r="K17" s="22"/>
      <c r="L17" s="22"/>
      <c r="M17" s="22"/>
      <c r="N17" s="22"/>
      <c r="O17" s="22"/>
      <c r="P17" s="22"/>
      <c r="Q17" s="22"/>
      <c r="R17" s="22"/>
      <c r="S17" s="22"/>
      <c r="T17" s="22"/>
      <c r="U17" s="22"/>
      <c r="V17" s="22"/>
      <c r="W17" s="22"/>
    </row>
    <row r="18" spans="1:23" x14ac:dyDescent="0.3">
      <c r="A18" s="22"/>
      <c r="B18" s="22"/>
      <c r="C18" s="22"/>
      <c r="D18" s="22"/>
      <c r="E18" s="22"/>
      <c r="F18" s="22"/>
      <c r="G18" s="22"/>
      <c r="H18" s="22"/>
      <c r="I18" s="22"/>
      <c r="J18" s="22"/>
      <c r="K18" s="22"/>
      <c r="L18" s="22"/>
      <c r="M18" s="22"/>
      <c r="N18" s="22"/>
      <c r="O18" s="22"/>
      <c r="P18" s="22"/>
      <c r="Q18" s="22"/>
      <c r="R18" s="22"/>
      <c r="S18" s="22"/>
      <c r="T18" s="22"/>
      <c r="U18" s="22"/>
      <c r="V18" s="22"/>
      <c r="W18" s="22"/>
    </row>
    <row r="19" spans="1:23" x14ac:dyDescent="0.3">
      <c r="A19" s="22"/>
      <c r="B19" s="22"/>
      <c r="C19" s="22"/>
      <c r="D19" s="22"/>
      <c r="E19" s="22"/>
      <c r="F19" s="22"/>
      <c r="G19" s="22"/>
      <c r="H19" s="22"/>
      <c r="I19" s="22"/>
      <c r="J19" s="22"/>
      <c r="K19" s="22"/>
      <c r="L19" s="22"/>
      <c r="M19" s="22"/>
      <c r="N19" s="22"/>
      <c r="O19" s="22"/>
      <c r="P19" s="22"/>
      <c r="Q19" s="22"/>
      <c r="R19" s="22"/>
      <c r="S19" s="22"/>
      <c r="T19" s="22"/>
      <c r="U19" s="22"/>
      <c r="V19" s="22"/>
      <c r="W19" s="22"/>
    </row>
    <row r="20" spans="1:23" x14ac:dyDescent="0.3">
      <c r="A20" s="22"/>
      <c r="B20" s="22"/>
      <c r="C20" s="22"/>
      <c r="D20" s="22"/>
      <c r="E20" s="22"/>
      <c r="F20" s="22"/>
      <c r="G20" s="22"/>
      <c r="H20" s="22"/>
      <c r="I20" s="22"/>
      <c r="J20" s="22"/>
      <c r="K20" s="22"/>
      <c r="L20" s="22"/>
      <c r="M20" s="22"/>
      <c r="N20" s="22"/>
      <c r="O20" s="22"/>
      <c r="P20" s="22"/>
      <c r="Q20" s="22"/>
      <c r="R20" s="22"/>
      <c r="S20" s="22"/>
      <c r="T20" s="22"/>
      <c r="U20" s="22"/>
      <c r="V20" s="22"/>
      <c r="W20" s="22"/>
    </row>
    <row r="21" spans="1:23" x14ac:dyDescent="0.3">
      <c r="A21" s="22"/>
      <c r="B21" s="22"/>
      <c r="C21" s="22"/>
      <c r="D21" s="22"/>
      <c r="E21" s="22"/>
      <c r="F21" s="22"/>
      <c r="G21" s="22"/>
      <c r="H21" s="22"/>
      <c r="I21" s="22"/>
      <c r="J21" s="22"/>
      <c r="K21" s="22"/>
      <c r="L21" s="22"/>
      <c r="M21" s="22"/>
      <c r="N21" s="22"/>
      <c r="O21" s="22"/>
      <c r="P21" s="22"/>
      <c r="Q21" s="22"/>
      <c r="R21" s="22"/>
      <c r="S21" s="22"/>
      <c r="T21" s="22"/>
      <c r="U21" s="22"/>
      <c r="V21" s="22"/>
      <c r="W21" s="22"/>
    </row>
    <row r="22" spans="1:23" x14ac:dyDescent="0.3">
      <c r="A22" s="22"/>
      <c r="B22" s="22"/>
      <c r="C22" s="22"/>
      <c r="D22" s="22"/>
      <c r="E22" s="22"/>
      <c r="F22" s="22"/>
      <c r="G22" s="22"/>
      <c r="H22" s="22"/>
      <c r="I22" s="22"/>
      <c r="J22" s="22"/>
      <c r="K22" s="22"/>
      <c r="L22" s="22"/>
      <c r="M22" s="22"/>
      <c r="N22" s="22"/>
      <c r="O22" s="22"/>
      <c r="P22" s="22"/>
      <c r="Q22" s="22"/>
      <c r="R22" s="22"/>
      <c r="S22" s="22"/>
      <c r="T22" s="22"/>
      <c r="U22" s="22"/>
      <c r="V22" s="22"/>
      <c r="W22" s="22"/>
    </row>
    <row r="23" spans="1:23" x14ac:dyDescent="0.3">
      <c r="A23" s="22"/>
      <c r="B23" s="22"/>
      <c r="C23" s="22"/>
      <c r="D23" s="22"/>
      <c r="E23" s="22"/>
      <c r="F23" s="22"/>
      <c r="G23" s="22"/>
      <c r="H23" s="22"/>
      <c r="I23" s="22"/>
      <c r="J23" s="22"/>
      <c r="K23" s="22"/>
      <c r="L23" s="22"/>
      <c r="M23" s="22"/>
      <c r="N23" s="22"/>
      <c r="O23" s="22"/>
      <c r="P23" s="22"/>
      <c r="Q23" s="22"/>
      <c r="R23" s="22"/>
      <c r="S23" s="22"/>
      <c r="T23" s="22"/>
      <c r="U23" s="22"/>
      <c r="V23" s="22"/>
      <c r="W23" s="22"/>
    </row>
    <row r="24" spans="1:23" x14ac:dyDescent="0.3">
      <c r="A24" s="22"/>
      <c r="B24" s="22"/>
      <c r="C24" s="22"/>
      <c r="D24" s="22"/>
      <c r="E24" s="22"/>
      <c r="F24" s="22"/>
      <c r="G24" s="22"/>
      <c r="H24" s="22"/>
      <c r="I24" s="22"/>
      <c r="J24" s="22"/>
      <c r="K24" s="22"/>
      <c r="L24" s="22"/>
      <c r="M24" s="22"/>
      <c r="N24" s="22"/>
      <c r="O24" s="22"/>
      <c r="P24" s="22"/>
      <c r="Q24" s="22"/>
      <c r="R24" s="22"/>
      <c r="S24" s="22"/>
      <c r="T24" s="22"/>
      <c r="U24" s="22"/>
      <c r="V24" s="22"/>
      <c r="W24" s="22"/>
    </row>
    <row r="25" spans="1:23" x14ac:dyDescent="0.3">
      <c r="A25" s="22"/>
      <c r="B25" s="22"/>
      <c r="C25" s="22"/>
      <c r="D25" s="22"/>
      <c r="E25" s="22"/>
      <c r="F25" s="22"/>
      <c r="G25" s="22"/>
      <c r="H25" s="22"/>
      <c r="I25" s="22"/>
      <c r="J25" s="22"/>
      <c r="K25" s="22"/>
      <c r="L25" s="22"/>
      <c r="M25" s="22"/>
      <c r="N25" s="22"/>
      <c r="O25" s="22"/>
      <c r="P25" s="22"/>
      <c r="Q25" s="22"/>
      <c r="R25" s="22"/>
      <c r="S25" s="22"/>
      <c r="T25" s="22"/>
      <c r="U25" s="22"/>
      <c r="V25" s="22"/>
      <c r="W25" s="22"/>
    </row>
    <row r="26" spans="1:23" x14ac:dyDescent="0.3">
      <c r="A26" s="22"/>
      <c r="B26" s="22"/>
      <c r="C26" s="22"/>
      <c r="D26" s="22"/>
      <c r="E26" s="22"/>
      <c r="F26" s="22"/>
      <c r="G26" s="22"/>
      <c r="H26" s="22"/>
      <c r="I26" s="22"/>
      <c r="J26" s="22"/>
      <c r="K26" s="22"/>
      <c r="L26" s="22"/>
      <c r="M26" s="22"/>
      <c r="N26" s="22"/>
      <c r="O26" s="22"/>
      <c r="P26" s="22"/>
      <c r="Q26" s="22"/>
      <c r="R26" s="22"/>
      <c r="S26" s="22"/>
      <c r="T26" s="22"/>
      <c r="U26" s="22"/>
      <c r="V26" s="22"/>
      <c r="W26" s="22"/>
    </row>
    <row r="27" spans="1:23" x14ac:dyDescent="0.3">
      <c r="A27" s="22"/>
      <c r="B27" s="22"/>
      <c r="C27" s="22"/>
      <c r="D27" s="22"/>
      <c r="E27" s="22"/>
      <c r="F27" s="22"/>
      <c r="G27" s="22"/>
      <c r="H27" s="22"/>
      <c r="I27" s="22"/>
      <c r="J27" s="22"/>
      <c r="K27" s="22"/>
      <c r="L27" s="22"/>
      <c r="M27" s="22"/>
      <c r="N27" s="22"/>
      <c r="O27" s="22"/>
      <c r="P27" s="22"/>
      <c r="Q27" s="22"/>
      <c r="R27" s="22"/>
      <c r="S27" s="22"/>
      <c r="T27" s="22"/>
      <c r="U27" s="22"/>
      <c r="V27" s="22"/>
      <c r="W27" s="22"/>
    </row>
    <row r="28" spans="1:23" x14ac:dyDescent="0.3">
      <c r="A28" s="22"/>
      <c r="B28" s="22"/>
      <c r="C28" s="22"/>
      <c r="D28" s="22"/>
      <c r="E28" s="22"/>
      <c r="F28" s="22"/>
      <c r="G28" s="22"/>
      <c r="H28" s="22"/>
      <c r="I28" s="22"/>
      <c r="J28" s="22"/>
      <c r="K28" s="22"/>
      <c r="L28" s="22"/>
      <c r="M28" s="22"/>
      <c r="N28" s="22"/>
      <c r="O28" s="22"/>
      <c r="P28" s="22"/>
      <c r="Q28" s="22"/>
      <c r="R28" s="22"/>
      <c r="S28" s="22"/>
      <c r="T28" s="22"/>
      <c r="U28" s="22"/>
      <c r="V28" s="22"/>
      <c r="W28" s="22"/>
    </row>
    <row r="29" spans="1:23" x14ac:dyDescent="0.3">
      <c r="A29" s="22"/>
      <c r="B29" s="22"/>
      <c r="C29" s="22"/>
      <c r="D29" s="22"/>
      <c r="E29" s="22"/>
      <c r="F29" s="22"/>
      <c r="G29" s="22"/>
      <c r="H29" s="22"/>
      <c r="I29" s="22"/>
      <c r="J29" s="22"/>
      <c r="K29" s="22"/>
      <c r="L29" s="22"/>
      <c r="M29" s="22"/>
      <c r="N29" s="22"/>
      <c r="O29" s="22"/>
      <c r="P29" s="22"/>
      <c r="Q29" s="22"/>
      <c r="R29" s="22"/>
      <c r="S29" s="22"/>
      <c r="T29" s="22"/>
      <c r="U29" s="22"/>
      <c r="V29" s="22"/>
      <c r="W29" s="22"/>
    </row>
    <row r="30" spans="1:23" x14ac:dyDescent="0.3">
      <c r="A30" s="22"/>
      <c r="B30" s="22"/>
      <c r="C30" s="22"/>
      <c r="D30" s="22"/>
      <c r="E30" s="22"/>
      <c r="F30" s="22"/>
      <c r="G30" s="22"/>
      <c r="H30" s="22"/>
      <c r="I30" s="22"/>
      <c r="J30" s="22"/>
      <c r="K30" s="22"/>
      <c r="L30" s="22"/>
      <c r="M30" s="22"/>
      <c r="N30" s="22"/>
      <c r="O30" s="22"/>
      <c r="P30" s="22"/>
      <c r="Q30" s="22"/>
      <c r="R30" s="22"/>
      <c r="S30" s="22"/>
      <c r="T30" s="22"/>
      <c r="U30" s="22"/>
      <c r="V30" s="22"/>
      <c r="W30" s="22"/>
    </row>
    <row r="31" spans="1:23" x14ac:dyDescent="0.3">
      <c r="A31" s="22"/>
      <c r="B31" s="22"/>
      <c r="C31" s="22"/>
      <c r="D31" s="22"/>
      <c r="E31" s="22"/>
      <c r="F31" s="22"/>
      <c r="G31" s="22"/>
      <c r="H31" s="22"/>
      <c r="I31" s="22"/>
      <c r="J31" s="22"/>
      <c r="K31" s="22"/>
      <c r="L31" s="22"/>
      <c r="M31" s="22"/>
      <c r="N31" s="22"/>
      <c r="O31" s="22"/>
      <c r="P31" s="22"/>
      <c r="Q31" s="22"/>
      <c r="R31" s="22"/>
      <c r="S31" s="22"/>
      <c r="T31" s="22"/>
      <c r="U31" s="22"/>
      <c r="V31" s="22"/>
      <c r="W31" s="22"/>
    </row>
    <row r="32" spans="1:23" x14ac:dyDescent="0.3">
      <c r="A32" s="22"/>
      <c r="B32" s="22"/>
      <c r="C32" s="22"/>
      <c r="D32" s="22"/>
      <c r="E32" s="22"/>
      <c r="F32" s="22"/>
      <c r="G32" s="22"/>
      <c r="H32" s="22"/>
      <c r="I32" s="22"/>
      <c r="J32" s="22"/>
      <c r="K32" s="22"/>
      <c r="L32" s="22"/>
      <c r="M32" s="22"/>
      <c r="N32" s="22"/>
      <c r="O32" s="22"/>
      <c r="P32" s="22"/>
      <c r="Q32" s="22"/>
      <c r="R32" s="22"/>
      <c r="S32" s="22"/>
      <c r="T32" s="22"/>
      <c r="U32" s="22"/>
      <c r="V32" s="22"/>
      <c r="W32" s="22"/>
    </row>
    <row r="33" spans="1:23" x14ac:dyDescent="0.3">
      <c r="A33" s="22"/>
      <c r="B33" s="22"/>
      <c r="C33" s="22"/>
      <c r="D33" s="22"/>
      <c r="E33" s="22"/>
      <c r="F33" s="22"/>
      <c r="G33" s="22"/>
      <c r="H33" s="22"/>
      <c r="I33" s="22"/>
      <c r="J33" s="22"/>
      <c r="K33" s="22"/>
      <c r="L33" s="22"/>
      <c r="M33" s="22"/>
      <c r="N33" s="22"/>
      <c r="O33" s="22"/>
      <c r="P33" s="22"/>
      <c r="Q33" s="22"/>
      <c r="R33" s="22"/>
      <c r="S33" s="22"/>
      <c r="T33" s="22"/>
      <c r="U33" s="22"/>
      <c r="V33" s="22"/>
      <c r="W33" s="22"/>
    </row>
    <row r="34" spans="1:23" x14ac:dyDescent="0.3">
      <c r="A34" s="22"/>
      <c r="B34" s="22"/>
      <c r="C34" s="22"/>
      <c r="D34" s="22"/>
      <c r="E34" s="22"/>
      <c r="F34" s="22"/>
      <c r="G34" s="22"/>
      <c r="H34" s="22"/>
      <c r="I34" s="22"/>
      <c r="J34" s="22"/>
      <c r="K34" s="22"/>
      <c r="L34" s="22"/>
      <c r="M34" s="22"/>
      <c r="N34" s="22"/>
      <c r="O34" s="22"/>
      <c r="P34" s="22"/>
      <c r="Q34" s="22"/>
      <c r="R34" s="22"/>
      <c r="S34" s="22"/>
      <c r="T34" s="22"/>
      <c r="U34" s="22"/>
      <c r="V34" s="22"/>
      <c r="W34" s="22"/>
    </row>
    <row r="35" spans="1:23" x14ac:dyDescent="0.3">
      <c r="A35" s="22"/>
      <c r="B35" s="22"/>
      <c r="C35" s="22"/>
      <c r="D35" s="22"/>
      <c r="E35" s="22"/>
      <c r="F35" s="22"/>
      <c r="G35" s="22"/>
      <c r="H35" s="22"/>
      <c r="I35" s="22"/>
      <c r="J35" s="22"/>
      <c r="K35" s="22"/>
      <c r="L35" s="22"/>
      <c r="M35" s="22"/>
      <c r="N35" s="22"/>
      <c r="O35" s="22"/>
      <c r="P35" s="22"/>
      <c r="Q35" s="22"/>
      <c r="R35" s="22"/>
      <c r="S35" s="22"/>
      <c r="T35" s="22"/>
      <c r="U35" s="22"/>
      <c r="V35" s="22"/>
      <c r="W35" s="22"/>
    </row>
    <row r="36" spans="1:23" x14ac:dyDescent="0.3">
      <c r="A36" s="22"/>
      <c r="B36" s="22"/>
      <c r="C36" s="22"/>
      <c r="D36" s="22"/>
      <c r="E36" s="22"/>
      <c r="F36" s="22"/>
      <c r="G36" s="22"/>
      <c r="H36" s="22"/>
      <c r="I36" s="22"/>
      <c r="J36" s="22"/>
      <c r="K36" s="22"/>
      <c r="L36" s="22"/>
      <c r="M36" s="22"/>
      <c r="N36" s="22"/>
      <c r="O36" s="22"/>
      <c r="P36" s="22"/>
      <c r="Q36" s="22"/>
      <c r="R36" s="22"/>
      <c r="S36" s="22"/>
      <c r="T36" s="22"/>
      <c r="U36" s="22"/>
      <c r="V36" s="22"/>
      <c r="W36" s="22"/>
    </row>
    <row r="37" spans="1:23" x14ac:dyDescent="0.3">
      <c r="A37" s="22"/>
      <c r="B37" s="22"/>
      <c r="C37" s="22"/>
      <c r="D37" s="22"/>
      <c r="E37" s="22"/>
      <c r="F37" s="22"/>
      <c r="G37" s="22"/>
      <c r="H37" s="22"/>
      <c r="I37" s="22"/>
      <c r="J37" s="22"/>
      <c r="K37" s="22"/>
      <c r="L37" s="22"/>
      <c r="M37" s="22"/>
      <c r="N37" s="22"/>
      <c r="O37" s="22"/>
      <c r="P37" s="22"/>
      <c r="Q37" s="22"/>
      <c r="R37" s="22"/>
      <c r="S37" s="22"/>
      <c r="T37" s="22"/>
      <c r="U37" s="22"/>
      <c r="V37" s="22"/>
      <c r="W37" s="22"/>
    </row>
    <row r="38" spans="1:23" x14ac:dyDescent="0.3">
      <c r="A38" s="22"/>
      <c r="B38" s="22"/>
      <c r="C38" s="22"/>
      <c r="D38" s="22"/>
      <c r="E38" s="22"/>
      <c r="F38" s="22"/>
      <c r="G38" s="22"/>
      <c r="H38" s="22"/>
      <c r="I38" s="22"/>
      <c r="J38" s="22"/>
      <c r="K38" s="22"/>
      <c r="L38" s="22"/>
      <c r="M38" s="22"/>
      <c r="N38" s="22"/>
      <c r="O38" s="22"/>
      <c r="P38" s="22"/>
      <c r="Q38" s="22"/>
      <c r="R38" s="22"/>
      <c r="S38" s="22"/>
      <c r="T38" s="22"/>
      <c r="U38" s="22"/>
      <c r="V38" s="22"/>
      <c r="W38" s="22"/>
    </row>
    <row r="39" spans="1:23" x14ac:dyDescent="0.3">
      <c r="A39" s="22"/>
      <c r="B39" s="22"/>
      <c r="C39" s="22"/>
      <c r="D39" s="22"/>
      <c r="E39" s="22"/>
      <c r="F39" s="22"/>
      <c r="G39" s="22"/>
      <c r="H39" s="22"/>
      <c r="I39" s="22"/>
      <c r="J39" s="22"/>
      <c r="K39" s="22"/>
      <c r="L39" s="22"/>
      <c r="M39" s="22"/>
      <c r="N39" s="22"/>
      <c r="O39" s="22"/>
      <c r="P39" s="22"/>
      <c r="Q39" s="22"/>
      <c r="R39" s="22"/>
      <c r="S39" s="22"/>
      <c r="T39" s="22"/>
      <c r="U39" s="22"/>
      <c r="V39" s="22"/>
      <c r="W39" s="22"/>
    </row>
    <row r="40" spans="1:23" x14ac:dyDescent="0.3">
      <c r="A40" s="22"/>
      <c r="B40" s="22"/>
      <c r="C40" s="22"/>
      <c r="D40" s="22"/>
      <c r="E40" s="22"/>
      <c r="F40" s="22"/>
      <c r="G40" s="22"/>
      <c r="H40" s="22"/>
      <c r="I40" s="22"/>
      <c r="J40" s="22"/>
      <c r="K40" s="22"/>
      <c r="L40" s="22"/>
      <c r="M40" s="22"/>
      <c r="N40" s="22"/>
      <c r="O40" s="22"/>
      <c r="P40" s="22"/>
      <c r="Q40" s="22"/>
      <c r="R40" s="22"/>
      <c r="S40" s="22"/>
      <c r="T40" s="22"/>
      <c r="U40" s="22"/>
      <c r="V40" s="22"/>
      <c r="W40" s="22"/>
    </row>
    <row r="41" spans="1:23" x14ac:dyDescent="0.3">
      <c r="A41" s="22"/>
      <c r="B41" s="22"/>
      <c r="C41" s="22"/>
      <c r="D41" s="22"/>
      <c r="E41" s="22"/>
      <c r="F41" s="22"/>
      <c r="G41" s="22"/>
      <c r="H41" s="22"/>
      <c r="I41" s="22"/>
      <c r="J41" s="22"/>
      <c r="K41" s="22"/>
      <c r="L41" s="22"/>
      <c r="M41" s="22"/>
      <c r="N41" s="22"/>
      <c r="O41" s="22"/>
      <c r="P41" s="22"/>
      <c r="Q41" s="22"/>
      <c r="R41" s="22"/>
      <c r="S41" s="22"/>
      <c r="T41" s="22"/>
      <c r="U41" s="22"/>
      <c r="V41" s="22"/>
      <c r="W41" s="22"/>
    </row>
    <row r="42" spans="1:23" x14ac:dyDescent="0.3">
      <c r="A42" s="22"/>
      <c r="B42" s="22"/>
      <c r="C42" s="22"/>
      <c r="D42" s="22"/>
      <c r="E42" s="22"/>
      <c r="F42" s="22"/>
      <c r="G42" s="22"/>
      <c r="H42" s="22"/>
      <c r="I42" s="22"/>
      <c r="J42" s="22"/>
      <c r="K42" s="22"/>
      <c r="L42" s="22"/>
      <c r="M42" s="22"/>
      <c r="N42" s="22"/>
      <c r="O42" s="22"/>
      <c r="P42" s="22"/>
      <c r="Q42" s="22"/>
      <c r="R42" s="22"/>
      <c r="S42" s="22"/>
      <c r="T42" s="22"/>
      <c r="U42" s="22"/>
      <c r="V42" s="22"/>
      <c r="W42" s="22"/>
    </row>
    <row r="43" spans="1:23" x14ac:dyDescent="0.3">
      <c r="A43" s="22"/>
      <c r="B43" s="22"/>
      <c r="C43" s="22"/>
      <c r="D43" s="22"/>
      <c r="E43" s="22"/>
      <c r="F43" s="22"/>
      <c r="G43" s="22"/>
      <c r="H43" s="22"/>
      <c r="I43" s="22"/>
      <c r="J43" s="22"/>
      <c r="K43" s="22"/>
      <c r="L43" s="22"/>
      <c r="M43" s="22"/>
      <c r="N43" s="22"/>
      <c r="O43" s="22"/>
      <c r="P43" s="22"/>
      <c r="Q43" s="22"/>
      <c r="R43" s="22"/>
      <c r="S43" s="22"/>
      <c r="T43" s="22"/>
      <c r="U43" s="22"/>
      <c r="V43" s="22"/>
      <c r="W43" s="22"/>
    </row>
    <row r="44" spans="1:23" x14ac:dyDescent="0.3">
      <c r="A44" s="22"/>
      <c r="B44" s="22"/>
      <c r="C44" s="22"/>
      <c r="D44" s="22"/>
      <c r="E44" s="22"/>
      <c r="F44" s="22"/>
      <c r="G44" s="22"/>
      <c r="H44" s="22"/>
      <c r="I44" s="22"/>
      <c r="J44" s="22"/>
      <c r="K44" s="22"/>
      <c r="L44" s="22"/>
      <c r="M44" s="22"/>
      <c r="N44" s="22"/>
      <c r="O44" s="22"/>
      <c r="P44" s="22"/>
      <c r="Q44" s="22"/>
      <c r="R44" s="22"/>
      <c r="S44" s="22"/>
      <c r="T44" s="22"/>
      <c r="U44" s="22"/>
      <c r="V44" s="22"/>
      <c r="W44" s="22"/>
    </row>
    <row r="45" spans="1:23" x14ac:dyDescent="0.3">
      <c r="A45" s="22"/>
      <c r="B45" s="22"/>
      <c r="C45" s="22"/>
      <c r="D45" s="22"/>
      <c r="E45" s="22"/>
      <c r="F45" s="22"/>
      <c r="G45" s="22"/>
      <c r="H45" s="22"/>
      <c r="I45" s="22"/>
      <c r="J45" s="22"/>
      <c r="K45" s="22"/>
      <c r="L45" s="22"/>
      <c r="M45" s="22"/>
      <c r="N45" s="22"/>
      <c r="O45" s="22"/>
      <c r="P45" s="22"/>
      <c r="Q45" s="22"/>
      <c r="R45" s="22"/>
      <c r="S45" s="22"/>
      <c r="T45" s="22"/>
      <c r="U45" s="22"/>
      <c r="V45" s="22"/>
      <c r="W45" s="22"/>
    </row>
    <row r="46" spans="1:23" x14ac:dyDescent="0.3">
      <c r="A46" s="22"/>
      <c r="B46" s="22"/>
      <c r="C46" s="22"/>
      <c r="D46" s="22"/>
      <c r="E46" s="22"/>
      <c r="F46" s="22"/>
      <c r="G46" s="22"/>
      <c r="H46" s="22"/>
      <c r="I46" s="22"/>
      <c r="J46" s="22"/>
      <c r="K46" s="22"/>
      <c r="L46" s="22"/>
      <c r="M46" s="22"/>
      <c r="N46" s="22"/>
      <c r="O46" s="22"/>
      <c r="P46" s="22"/>
      <c r="Q46" s="22"/>
      <c r="R46" s="22"/>
      <c r="S46" s="22"/>
      <c r="T46" s="22"/>
      <c r="U46" s="22"/>
      <c r="V46" s="22"/>
      <c r="W46" s="22"/>
    </row>
    <row r="47" spans="1:23" x14ac:dyDescent="0.3">
      <c r="A47" s="22"/>
      <c r="B47" s="22"/>
      <c r="C47" s="22"/>
      <c r="D47" s="22"/>
      <c r="E47" s="22"/>
      <c r="F47" s="22"/>
      <c r="G47" s="22"/>
      <c r="H47" s="22"/>
      <c r="I47" s="22"/>
      <c r="J47" s="22"/>
      <c r="K47" s="22"/>
      <c r="L47" s="22"/>
      <c r="M47" s="22"/>
      <c r="N47" s="22"/>
      <c r="O47" s="22"/>
      <c r="P47" s="22"/>
      <c r="Q47" s="22"/>
      <c r="R47" s="22"/>
      <c r="S47" s="22"/>
      <c r="T47" s="22"/>
      <c r="U47" s="22"/>
      <c r="V47" s="22"/>
      <c r="W47" s="22"/>
    </row>
    <row r="48" spans="1:23" x14ac:dyDescent="0.3">
      <c r="A48" s="22"/>
      <c r="B48" s="22"/>
      <c r="C48" s="22"/>
      <c r="D48" s="22"/>
      <c r="E48" s="22"/>
      <c r="F48" s="22"/>
      <c r="G48" s="22"/>
      <c r="H48" s="22"/>
      <c r="I48" s="22"/>
      <c r="J48" s="22"/>
      <c r="K48" s="22"/>
      <c r="L48" s="22"/>
      <c r="M48" s="22"/>
      <c r="N48" s="22"/>
      <c r="O48" s="22"/>
      <c r="P48" s="22"/>
      <c r="Q48" s="22"/>
      <c r="R48" s="22"/>
      <c r="S48" s="22"/>
      <c r="T48" s="22"/>
      <c r="U48" s="22"/>
      <c r="V48" s="22"/>
      <c r="W48" s="22"/>
    </row>
    <row r="49" spans="1:23" x14ac:dyDescent="0.3">
      <c r="A49" s="22"/>
      <c r="B49" s="22"/>
      <c r="C49" s="22"/>
      <c r="D49" s="22"/>
      <c r="E49" s="22"/>
      <c r="F49" s="22"/>
      <c r="G49" s="22"/>
      <c r="H49" s="22"/>
      <c r="I49" s="22"/>
      <c r="J49" s="22"/>
      <c r="K49" s="22"/>
      <c r="L49" s="22"/>
      <c r="M49" s="22"/>
      <c r="N49" s="22"/>
      <c r="O49" s="22"/>
      <c r="P49" s="22"/>
      <c r="Q49" s="22"/>
      <c r="R49" s="22"/>
      <c r="S49" s="22"/>
      <c r="T49" s="22"/>
      <c r="U49" s="22"/>
      <c r="V49" s="22"/>
      <c r="W49" s="22"/>
    </row>
    <row r="50" spans="1:23" x14ac:dyDescent="0.3">
      <c r="A50" s="22"/>
      <c r="B50" s="22"/>
      <c r="C50" s="22"/>
      <c r="D50" s="22"/>
      <c r="E50" s="22"/>
      <c r="F50" s="22"/>
      <c r="G50" s="22"/>
      <c r="H50" s="22"/>
      <c r="I50" s="22"/>
      <c r="J50" s="22"/>
      <c r="K50" s="22"/>
      <c r="L50" s="22"/>
      <c r="M50" s="22"/>
      <c r="N50" s="22"/>
      <c r="O50" s="22"/>
      <c r="P50" s="22"/>
      <c r="Q50" s="22"/>
      <c r="R50" s="22"/>
      <c r="S50" s="22"/>
      <c r="T50" s="22"/>
      <c r="U50" s="22"/>
      <c r="V50" s="22"/>
      <c r="W50" s="22"/>
    </row>
    <row r="51" spans="1:23" x14ac:dyDescent="0.3">
      <c r="A51" s="22"/>
      <c r="B51" s="22"/>
      <c r="C51" s="22"/>
      <c r="D51" s="22"/>
      <c r="E51" s="22"/>
      <c r="F51" s="22"/>
      <c r="G51" s="22"/>
      <c r="H51" s="22"/>
      <c r="I51" s="22"/>
      <c r="J51" s="22"/>
      <c r="K51" s="22"/>
      <c r="L51" s="22"/>
      <c r="M51" s="22"/>
      <c r="N51" s="22"/>
      <c r="O51" s="22"/>
      <c r="P51" s="22"/>
      <c r="Q51" s="22"/>
      <c r="R51" s="22"/>
      <c r="S51" s="22"/>
      <c r="T51" s="22"/>
      <c r="U51" s="22"/>
      <c r="V51" s="22"/>
      <c r="W51" s="22"/>
    </row>
    <row r="52" spans="1:23" x14ac:dyDescent="0.3">
      <c r="A52" s="22"/>
      <c r="B52" s="22"/>
      <c r="C52" s="22"/>
      <c r="D52" s="22"/>
      <c r="E52" s="22"/>
      <c r="F52" s="22"/>
      <c r="G52" s="22"/>
      <c r="H52" s="22"/>
      <c r="I52" s="22"/>
      <c r="J52" s="22"/>
      <c r="K52" s="22"/>
      <c r="L52" s="22"/>
      <c r="M52" s="22"/>
      <c r="N52" s="22"/>
      <c r="O52" s="22"/>
      <c r="P52" s="22"/>
      <c r="Q52" s="22"/>
      <c r="R52" s="22"/>
      <c r="S52" s="22"/>
      <c r="T52" s="22"/>
      <c r="U52" s="22"/>
      <c r="V52" s="22"/>
      <c r="W52" s="22"/>
    </row>
    <row r="53" spans="1:23" x14ac:dyDescent="0.3">
      <c r="A53" s="22"/>
      <c r="B53" s="22"/>
      <c r="C53" s="22"/>
      <c r="D53" s="22"/>
      <c r="E53" s="22"/>
      <c r="F53" s="22"/>
      <c r="G53" s="22"/>
      <c r="H53" s="22"/>
      <c r="I53" s="22"/>
      <c r="J53" s="22"/>
      <c r="K53" s="22"/>
      <c r="L53" s="22"/>
      <c r="M53" s="22"/>
      <c r="N53" s="22"/>
      <c r="O53" s="22"/>
      <c r="P53" s="22"/>
      <c r="Q53" s="22"/>
      <c r="R53" s="22"/>
      <c r="S53" s="22"/>
      <c r="T53" s="22"/>
      <c r="U53" s="22"/>
      <c r="V53" s="22"/>
      <c r="W53" s="22"/>
    </row>
    <row r="54" spans="1:23" x14ac:dyDescent="0.3">
      <c r="A54" s="22"/>
      <c r="B54" s="22"/>
      <c r="C54" s="22"/>
      <c r="D54" s="22"/>
      <c r="E54" s="22"/>
      <c r="F54" s="22"/>
      <c r="G54" s="22"/>
      <c r="H54" s="22"/>
      <c r="I54" s="22"/>
      <c r="J54" s="22"/>
      <c r="K54" s="22"/>
      <c r="L54" s="22"/>
      <c r="M54" s="22"/>
      <c r="N54" s="22"/>
      <c r="O54" s="22"/>
      <c r="P54" s="22"/>
      <c r="Q54" s="22"/>
      <c r="R54" s="22"/>
      <c r="S54" s="22"/>
      <c r="T54" s="22"/>
      <c r="U54" s="22"/>
      <c r="V54" s="22"/>
      <c r="W54" s="22"/>
    </row>
    <row r="55" spans="1:23" x14ac:dyDescent="0.3">
      <c r="A55" s="22"/>
      <c r="B55" s="22"/>
      <c r="C55" s="22"/>
      <c r="D55" s="22"/>
      <c r="E55" s="22"/>
      <c r="F55" s="22"/>
      <c r="G55" s="22"/>
      <c r="H55" s="22"/>
      <c r="I55" s="22"/>
      <c r="J55" s="22"/>
      <c r="K55" s="22"/>
      <c r="L55" s="22"/>
      <c r="M55" s="22"/>
      <c r="N55" s="22"/>
      <c r="O55" s="22"/>
      <c r="P55" s="22"/>
      <c r="Q55" s="22"/>
      <c r="R55" s="22"/>
      <c r="S55" s="22"/>
      <c r="T55" s="22"/>
      <c r="U55" s="22"/>
      <c r="V55" s="22"/>
      <c r="W55" s="22"/>
    </row>
    <row r="56" spans="1:23" x14ac:dyDescent="0.3">
      <c r="A56" s="22"/>
      <c r="B56" s="22"/>
      <c r="C56" s="22"/>
      <c r="D56" s="22"/>
      <c r="E56" s="22"/>
      <c r="F56" s="22"/>
      <c r="G56" s="22"/>
      <c r="H56" s="22"/>
      <c r="I56" s="22"/>
      <c r="J56" s="22"/>
      <c r="K56" s="22"/>
      <c r="L56" s="22"/>
      <c r="M56" s="22"/>
      <c r="N56" s="22"/>
      <c r="O56" s="22"/>
      <c r="P56" s="22"/>
      <c r="Q56" s="22"/>
      <c r="R56" s="22"/>
      <c r="S56" s="22"/>
      <c r="T56" s="22"/>
      <c r="U56" s="22"/>
      <c r="V56" s="22"/>
      <c r="W56" s="22"/>
    </row>
    <row r="57" spans="1:23" x14ac:dyDescent="0.3">
      <c r="A57" s="22"/>
      <c r="B57" s="22"/>
      <c r="C57" s="22"/>
      <c r="D57" s="22"/>
      <c r="E57" s="22"/>
      <c r="F57" s="22"/>
      <c r="G57" s="22"/>
      <c r="H57" s="22"/>
      <c r="I57" s="22"/>
      <c r="J57" s="22"/>
      <c r="K57" s="22"/>
      <c r="L57" s="22"/>
      <c r="M57" s="22"/>
      <c r="N57" s="22"/>
      <c r="O57" s="22"/>
      <c r="P57" s="22"/>
      <c r="Q57" s="22"/>
      <c r="R57" s="22"/>
      <c r="S57" s="22"/>
      <c r="T57" s="22"/>
      <c r="U57" s="22"/>
      <c r="V57" s="22"/>
      <c r="W57" s="22"/>
    </row>
    <row r="58" spans="1:23" x14ac:dyDescent="0.3">
      <c r="A58" s="22"/>
      <c r="B58" s="22"/>
      <c r="C58" s="22"/>
      <c r="D58" s="22"/>
      <c r="E58" s="22"/>
      <c r="F58" s="22"/>
      <c r="G58" s="22"/>
      <c r="H58" s="22"/>
      <c r="I58" s="22"/>
      <c r="J58" s="22"/>
      <c r="K58" s="22"/>
      <c r="L58" s="22"/>
      <c r="M58" s="22"/>
      <c r="N58" s="22"/>
      <c r="O58" s="22"/>
      <c r="P58" s="22"/>
      <c r="Q58" s="22"/>
      <c r="R58" s="22"/>
      <c r="S58" s="22"/>
      <c r="T58" s="22"/>
      <c r="U58" s="22"/>
      <c r="V58" s="22"/>
      <c r="W58" s="22"/>
    </row>
    <row r="59" spans="1:23" x14ac:dyDescent="0.3">
      <c r="A59" s="22"/>
      <c r="B59" s="22"/>
      <c r="C59" s="22"/>
      <c r="D59" s="22"/>
      <c r="E59" s="22"/>
      <c r="F59" s="22"/>
      <c r="G59" s="22"/>
      <c r="H59" s="22"/>
      <c r="I59" s="22"/>
      <c r="J59" s="22"/>
      <c r="K59" s="22"/>
      <c r="L59" s="22"/>
      <c r="M59" s="22"/>
      <c r="N59" s="22"/>
      <c r="O59" s="22"/>
      <c r="P59" s="22"/>
      <c r="Q59" s="22"/>
      <c r="R59" s="22"/>
      <c r="S59" s="22"/>
      <c r="T59" s="22"/>
      <c r="U59" s="22"/>
      <c r="V59" s="22"/>
      <c r="W59" s="22"/>
    </row>
    <row r="61" spans="1:23" x14ac:dyDescent="0.3">
      <c r="A61" s="40" t="s">
        <v>502</v>
      </c>
      <c r="B61" s="40"/>
      <c r="C61" s="40"/>
      <c r="D61" s="40"/>
      <c r="E61" s="40"/>
      <c r="F61" s="40"/>
      <c r="G61" s="40"/>
      <c r="H61" s="40"/>
      <c r="I61" s="40"/>
      <c r="J61" s="40"/>
      <c r="K61" s="40"/>
      <c r="L61" s="40"/>
      <c r="M61" s="40"/>
      <c r="N61" s="40"/>
      <c r="O61" s="40"/>
      <c r="P61" s="40"/>
      <c r="Q61" s="40"/>
      <c r="R61" s="40"/>
      <c r="S61" s="40"/>
      <c r="T61" s="40"/>
      <c r="U61" s="40"/>
      <c r="V61" s="40"/>
      <c r="W61" s="40"/>
    </row>
    <row r="62" spans="1:23" ht="14.4" customHeight="1" x14ac:dyDescent="0.3">
      <c r="A62" s="40"/>
      <c r="B62" s="40"/>
      <c r="C62" s="40"/>
      <c r="D62" s="40"/>
      <c r="E62" s="40"/>
      <c r="F62" s="40"/>
      <c r="G62" s="40"/>
      <c r="H62" s="40"/>
      <c r="I62" s="40"/>
      <c r="J62" s="40"/>
      <c r="K62" s="40"/>
      <c r="L62" s="40"/>
      <c r="M62" s="40"/>
      <c r="N62" s="40"/>
      <c r="O62" s="40"/>
      <c r="P62" s="40"/>
      <c r="Q62" s="40"/>
      <c r="R62" s="40"/>
      <c r="S62" s="40"/>
      <c r="T62" s="40"/>
      <c r="U62" s="40"/>
      <c r="V62" s="40"/>
      <c r="W62" s="40"/>
    </row>
    <row r="63" spans="1:23" ht="14.4" customHeight="1" x14ac:dyDescent="0.3">
      <c r="A63" s="39" t="s">
        <v>501</v>
      </c>
      <c r="B63" s="39"/>
      <c r="C63" s="39"/>
      <c r="D63" s="39"/>
      <c r="E63" s="39"/>
      <c r="F63" s="39"/>
      <c r="G63" s="39"/>
      <c r="H63" s="39"/>
      <c r="I63" s="39"/>
      <c r="J63" s="39"/>
      <c r="K63" s="39"/>
      <c r="L63" s="39"/>
      <c r="M63" s="39"/>
      <c r="N63" s="39"/>
      <c r="O63" s="39"/>
      <c r="P63" s="39"/>
      <c r="Q63" s="39"/>
      <c r="R63" s="39"/>
      <c r="S63" s="39"/>
      <c r="T63" s="39"/>
      <c r="U63" s="39"/>
      <c r="V63" s="39"/>
      <c r="W63" s="39"/>
    </row>
    <row r="64" spans="1:23" ht="14.4" customHeight="1" x14ac:dyDescent="0.3">
      <c r="A64" s="39"/>
      <c r="B64" s="39"/>
      <c r="C64" s="39"/>
      <c r="D64" s="39"/>
      <c r="E64" s="39"/>
      <c r="F64" s="39"/>
      <c r="G64" s="39"/>
      <c r="H64" s="39"/>
      <c r="I64" s="39"/>
      <c r="J64" s="39"/>
      <c r="K64" s="39"/>
      <c r="L64" s="39"/>
      <c r="M64" s="39"/>
      <c r="N64" s="39"/>
      <c r="O64" s="39"/>
      <c r="P64" s="39"/>
      <c r="Q64" s="39"/>
      <c r="R64" s="39"/>
      <c r="S64" s="39"/>
      <c r="T64" s="39"/>
      <c r="U64" s="39"/>
      <c r="V64" s="39"/>
      <c r="W64" s="39"/>
    </row>
    <row r="65" ht="14.4" customHeight="1" x14ac:dyDescent="0.3"/>
    <row r="66" ht="14.4" customHeight="1" x14ac:dyDescent="0.3"/>
    <row r="67" ht="14.4" customHeight="1" x14ac:dyDescent="0.3"/>
  </sheetData>
  <mergeCells count="4">
    <mergeCell ref="A61:W62"/>
    <mergeCell ref="A63:W64"/>
    <mergeCell ref="A1:W6"/>
    <mergeCell ref="A9:W59"/>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Index</vt:lpstr>
      <vt:lpstr>Data Cleaning</vt:lpstr>
      <vt:lpstr>Timetable_Schedule</vt:lpstr>
      <vt:lpstr>Faculty_Workload</vt:lpstr>
      <vt:lpstr>Clean_Timetable_Schedule</vt:lpstr>
      <vt:lpstr>Clean_Faculty_Workload</vt:lpstr>
      <vt:lpstr>Timetable_Pivot</vt:lpstr>
      <vt:lpstr>Faculty_Pivot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SAYAR SEKHAR GHOSH</dc:creator>
  <cp:lastModifiedBy>SAYAR SEKHAR GHOSH</cp:lastModifiedBy>
  <dcterms:created xsi:type="dcterms:W3CDTF">2015-06-05T18:17:20Z</dcterms:created>
  <dcterms:modified xsi:type="dcterms:W3CDTF">2026-05-19T10:29:50Z</dcterms:modified>
</cp:coreProperties>
</file>